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/>
  <mc:AlternateContent xmlns:mc="http://schemas.openxmlformats.org/markup-compatibility/2006">
    <mc:Choice Requires="x15">
      <x15ac:absPath xmlns:x15ac="http://schemas.microsoft.com/office/spreadsheetml/2010/11/ac" url="https://mailinternacionaledu-my.sharepoint.com/personal/siveintimillaqu_uide_edu_ec/Documents/1. DERECHO - DOCENCIA/1. DISTRIBUTIVO DOCENTE GENERAL/"/>
    </mc:Choice>
  </mc:AlternateContent>
  <xr:revisionPtr revIDLastSave="9" documentId="8_{962842A0-DCEC-4461-965A-1A20747C8A3B}" xr6:coauthVersionLast="47" xr6:coauthVersionMax="47" xr10:uidLastSave="{69CB9C23-F4FC-4EF5-86D4-417124841707}"/>
  <bookViews>
    <workbookView xWindow="-120" yWindow="-120" windowWidth="20730" windowHeight="11040" xr2:uid="{E3E18A00-0BCF-47B5-BB0B-F7E1D5DC34B1}"/>
  </bookViews>
  <sheets>
    <sheet name="PLANIFICACIÓN" sheetId="2" r:id="rId1"/>
    <sheet name="." sheetId="1" r:id="rId2"/>
  </sheets>
  <definedNames>
    <definedName name="_xlnm._FilterDatabase" localSheetId="0" hidden="1">PLANIFICACIÓN!$A$12:$S$45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5" i="2" l="1"/>
  <c r="P15" i="2" l="1"/>
  <c r="P32" i="2" l="1"/>
  <c r="P39" i="2" l="1"/>
  <c r="P43" i="2" l="1"/>
  <c r="P22" i="2"/>
  <c r="P14" i="2" l="1"/>
  <c r="P26" i="1"/>
  <c r="P23" i="1"/>
  <c r="P15" i="1"/>
  <c r="P14" i="1"/>
</calcChain>
</file>

<file path=xl/sharedStrings.xml><?xml version="1.0" encoding="utf-8"?>
<sst xmlns="http://schemas.openxmlformats.org/spreadsheetml/2006/main" count="942" uniqueCount="281">
  <si>
    <t xml:space="preserve">UNIVERSIDAD INTERNACIONAL DEL ECUADOR - EXTENSIÓN LOJA </t>
  </si>
  <si>
    <t xml:space="preserve">FACULTAD DE JURISPRUDENCIA, CIENCIAS SOCIALES Y HUMANIDADES "ANDRÉS F. CÓRDOVA" </t>
  </si>
  <si>
    <t>CARRERA DE DERECHO</t>
  </si>
  <si>
    <t>PANIFICACIÓN ACADÉMICA Octubre 2025 - Marzo 2026</t>
  </si>
  <si>
    <t>DOCENTES TIEMPO COMPLETO</t>
  </si>
  <si>
    <t>TOTAL HORAS DOCENCIA</t>
  </si>
  <si>
    <t xml:space="preserve">N ª </t>
  </si>
  <si>
    <t xml:space="preserve">DOCENTE </t>
  </si>
  <si>
    <t>TÍTULO</t>
  </si>
  <si>
    <t>ASIGNATURA</t>
  </si>
  <si>
    <t>MODALIDAD</t>
  </si>
  <si>
    <t>CICLO</t>
  </si>
  <si>
    <t>MALLA</t>
  </si>
  <si>
    <t>CÓDIGO</t>
  </si>
  <si>
    <t>PARALELO</t>
  </si>
  <si>
    <t xml:space="preserve">DÍA </t>
  </si>
  <si>
    <t>HORA</t>
  </si>
  <si>
    <t xml:space="preserve">Nro. HORAS </t>
  </si>
  <si>
    <t xml:space="preserve">CRÉDITOS </t>
  </si>
  <si>
    <t>AULA / LAB</t>
  </si>
  <si>
    <t>NRO. ESTUDIANTES</t>
  </si>
  <si>
    <t>AULA NRO</t>
  </si>
  <si>
    <t>PREGRADO</t>
  </si>
  <si>
    <t>POSGRADO</t>
  </si>
  <si>
    <t>Pablo José Ruiz Aguirre</t>
  </si>
  <si>
    <t>ABOGADO</t>
  </si>
  <si>
    <t>Master of arts in development studies major in governance policy and political economy . Master universitario en análisis político y asesoría institucional. Phd (C ) Derecho y Ciencia Política.</t>
  </si>
  <si>
    <t>Teoría Política y del Estado</t>
  </si>
  <si>
    <t>PRESENCIAL</t>
  </si>
  <si>
    <t>1ro</t>
  </si>
  <si>
    <t>DER_04U_TPE</t>
  </si>
  <si>
    <t>A</t>
  </si>
  <si>
    <t>Jueves</t>
  </si>
  <si>
    <t>14:00 - 17:00</t>
  </si>
  <si>
    <t>TEÓRICAS</t>
  </si>
  <si>
    <t>AULA</t>
  </si>
  <si>
    <t>C12</t>
  </si>
  <si>
    <t>Ángel Ambuludí Granda</t>
  </si>
  <si>
    <t>Magister en Derecho Civil y Procesal Civil. Diploma Superior de Cuarto Nivel en Intervención Social</t>
  </si>
  <si>
    <t xml:space="preserve">Derechos Especiales Patrimoniales </t>
  </si>
  <si>
    <t>6to</t>
  </si>
  <si>
    <t>LFT_06_DEP</t>
  </si>
  <si>
    <t>Martes</t>
  </si>
  <si>
    <t>16:00 - 19:00</t>
  </si>
  <si>
    <t>B7</t>
  </si>
  <si>
    <t>Derechos Patimoniales</t>
  </si>
  <si>
    <t>5to</t>
  </si>
  <si>
    <t xml:space="preserve">DER_04U_DPAT </t>
  </si>
  <si>
    <t>10:30 - 13:30</t>
  </si>
  <si>
    <t>Práctica Civil</t>
  </si>
  <si>
    <t>3ro</t>
  </si>
  <si>
    <t>DER_04U_PRC</t>
  </si>
  <si>
    <t>Miércoles</t>
  </si>
  <si>
    <t>08:00 - 11:00</t>
  </si>
  <si>
    <t>CONSULTORIO</t>
  </si>
  <si>
    <t>SALA DE AUDIENCIAS</t>
  </si>
  <si>
    <t>15:00 - 18:00</t>
  </si>
  <si>
    <t>PRÁCTICA</t>
  </si>
  <si>
    <t>Derecho Procesal Orgánico</t>
  </si>
  <si>
    <t>DER_04U_DPO</t>
  </si>
  <si>
    <t>08:00 - 10:00</t>
  </si>
  <si>
    <t>Práctica Procesal</t>
  </si>
  <si>
    <t>DER_04U_PPP</t>
  </si>
  <si>
    <t>Lunes</t>
  </si>
  <si>
    <t>13:00 - 16:00</t>
  </si>
  <si>
    <t>Raquel Veintimilla Quezada</t>
  </si>
  <si>
    <t>ABOGADA</t>
  </si>
  <si>
    <t>Master en Relaciones Internacionales y Diplomacia con mención en Política Exterior. Especialidad en Género, Derechos Humanos y Violencia</t>
  </si>
  <si>
    <t>Sociología, Interculturalidad e Inclusión</t>
  </si>
  <si>
    <t xml:space="preserve">DER_04U_SII </t>
  </si>
  <si>
    <t>10:00 - 12:00</t>
  </si>
  <si>
    <t>B8</t>
  </si>
  <si>
    <t>Derecho Internacional</t>
  </si>
  <si>
    <t>3do</t>
  </si>
  <si>
    <t>DER_04U_DEI</t>
  </si>
  <si>
    <t>10:00 - 13:00</t>
  </si>
  <si>
    <t xml:space="preserve">Análisis crítico del Derecho en su contexto </t>
  </si>
  <si>
    <t>8vo</t>
  </si>
  <si>
    <t>CSC_08_ACDC</t>
  </si>
  <si>
    <t>Luis Fernando Guevara</t>
  </si>
  <si>
    <t xml:space="preserve">Master en Derecho Constitucional y Especialista en Derecho Procesal. PhD (c) </t>
  </si>
  <si>
    <t>Sistemas Jurídicos Comparados</t>
  </si>
  <si>
    <t>DER_04U_SJC</t>
  </si>
  <si>
    <t>C10</t>
  </si>
  <si>
    <t>B</t>
  </si>
  <si>
    <t>11:00 - 13:00</t>
  </si>
  <si>
    <t>DERECHO AMBIENTAL Y SECTORES ESTRATÉGICOS</t>
  </si>
  <si>
    <t>7mo</t>
  </si>
  <si>
    <t xml:space="preserve">LFT_07_DASE </t>
  </si>
  <si>
    <r>
      <t xml:space="preserve">Teoría de la Prueba </t>
    </r>
    <r>
      <rPr>
        <b/>
        <sz val="14"/>
        <color rgb="FF000000"/>
        <rFont val="Aptos Display"/>
        <family val="2"/>
        <scheme val="major"/>
      </rPr>
      <t>(requiere sala de audiencias)</t>
    </r>
  </si>
  <si>
    <t xml:space="preserve">LFT_06_TPA </t>
  </si>
  <si>
    <t>Viernes</t>
  </si>
  <si>
    <t>Teoría General del Derecho</t>
  </si>
  <si>
    <t>DER_04U_TGD</t>
  </si>
  <si>
    <r>
      <t xml:space="preserve">Garantías de Derechos y Control Constitucional </t>
    </r>
    <r>
      <rPr>
        <b/>
        <sz val="14"/>
        <color rgb="FF000000"/>
        <rFont val="Aptos Display"/>
        <family val="2"/>
        <scheme val="major"/>
      </rPr>
      <t>(requiere sala de audiencias)</t>
    </r>
  </si>
  <si>
    <t>DER_04U_GDCC</t>
  </si>
  <si>
    <t>07:00 - 10:00</t>
  </si>
  <si>
    <r>
      <t xml:space="preserve">DERECHO PROCESAL ADMINISTRATIVO: FISCALIZACIÓN Y CONTROL </t>
    </r>
    <r>
      <rPr>
        <b/>
        <sz val="14"/>
        <color rgb="FF000000"/>
        <rFont val="Aptos Display"/>
        <family val="2"/>
        <scheme val="major"/>
      </rPr>
      <t>(requiere sala de audiencias)</t>
    </r>
  </si>
  <si>
    <t>LFT_07_DPAFC</t>
  </si>
  <si>
    <t>Daniela Ochoa</t>
  </si>
  <si>
    <t xml:space="preserve">Magister en Ciencias Penales </t>
  </si>
  <si>
    <t>Vinculación y Servicio Comunitario</t>
  </si>
  <si>
    <t>LPRAC-06-PV</t>
  </si>
  <si>
    <t>B6</t>
  </si>
  <si>
    <t xml:space="preserve">Vinculación, Servicio Comunitario y Litigio Estratégico </t>
  </si>
  <si>
    <t>LPRAC-07-PV</t>
  </si>
  <si>
    <t>14:00 - 16:00</t>
  </si>
  <si>
    <t xml:space="preserve">Jueves </t>
  </si>
  <si>
    <t>Derecho de Familia</t>
  </si>
  <si>
    <t xml:space="preserve">DER_04U_DEF </t>
  </si>
  <si>
    <t>C11</t>
  </si>
  <si>
    <t xml:space="preserve">Derecho Procesal Penal </t>
  </si>
  <si>
    <t xml:space="preserve">6to </t>
  </si>
  <si>
    <t>LFT-06-DPP</t>
  </si>
  <si>
    <t>Andrea Córdova</t>
  </si>
  <si>
    <t>Master en Fiscalidad Internacionalidad</t>
  </si>
  <si>
    <t>Derecho Tributario</t>
  </si>
  <si>
    <t>LFT-07-DTO</t>
  </si>
  <si>
    <t xml:space="preserve">TÉCNICAS DE ARGUMENTACIÓN JURÍDICA </t>
  </si>
  <si>
    <t>LFT_07_TIAJ</t>
  </si>
  <si>
    <t>10:00-13:00</t>
  </si>
  <si>
    <t xml:space="preserve">Métodos Alternativos de Solución de Conflictos </t>
  </si>
  <si>
    <t>LFT_07_MASC</t>
  </si>
  <si>
    <t>Interpretación e Investigación Jurídica</t>
  </si>
  <si>
    <t>LFT_08_MIIJ</t>
  </si>
  <si>
    <t>Luis Maldonado</t>
  </si>
  <si>
    <t>Master in Criminal Justice</t>
  </si>
  <si>
    <t>Unidad de Integración  Curricular (Seminario de Tesis)</t>
  </si>
  <si>
    <t>FCA_08_UIC</t>
  </si>
  <si>
    <t>LAB</t>
  </si>
  <si>
    <t>LB. COMPUTO 3</t>
  </si>
  <si>
    <t xml:space="preserve">Derecho Penal Especial </t>
  </si>
  <si>
    <t>DER_04U_DPE</t>
  </si>
  <si>
    <t>José Febres Eguiguren</t>
  </si>
  <si>
    <t>Master Universitario en Derecho de Daños</t>
  </si>
  <si>
    <r>
      <rPr>
        <sz val="14"/>
        <color rgb="FF000000"/>
        <rFont val="Aptos Display"/>
        <family val="2"/>
        <scheme val="major"/>
      </rPr>
      <t xml:space="preserve">DERECHO DE DAÑOS: RESPONSABILIDAD EXTRACONTRACTUAL </t>
    </r>
    <r>
      <rPr>
        <b/>
        <sz val="14"/>
        <color rgb="FF000000"/>
        <rFont val="Aptos Display"/>
        <family val="2"/>
        <scheme val="major"/>
      </rPr>
      <t>(requiere sala de audiencias)</t>
    </r>
  </si>
  <si>
    <t>LFT_06_DDRX</t>
  </si>
  <si>
    <t>Paula Ordoñez</t>
  </si>
  <si>
    <t>Master en Derecho Tributario</t>
  </si>
  <si>
    <t>DERECHO FINANCIERO Y MERCADO DE VALORES</t>
  </si>
  <si>
    <t>LFT-08-DFMV</t>
  </si>
  <si>
    <t xml:space="preserve">Miércoles
</t>
  </si>
  <si>
    <t>07:00 - 09:00</t>
  </si>
  <si>
    <t>B4</t>
  </si>
  <si>
    <t>Alejandro Moreno</t>
  </si>
  <si>
    <t>Master en Propiedad Intelectual</t>
  </si>
  <si>
    <t>PROPIEDAD INTELECTUAL Y DERECHO DE COMPETENCIA</t>
  </si>
  <si>
    <t>VIRTUAL</t>
  </si>
  <si>
    <t>LFT-08-PIDC</t>
  </si>
  <si>
    <t xml:space="preserve">Jueves
</t>
  </si>
  <si>
    <t>18:00 - 21:00</t>
  </si>
  <si>
    <t>Pablo Carrión</t>
  </si>
  <si>
    <t>ABOGADO/ECONOMISTA</t>
  </si>
  <si>
    <t>Master en Derecho Penal Económico</t>
  </si>
  <si>
    <t>MÉTODOS CUANTITATIVOS Y TECNOLOGÍAS DE INFORMACIÓN APLICADAS</t>
  </si>
  <si>
    <t>LFT_08_MTIAP</t>
  </si>
  <si>
    <t>Teoría Económica Aplicada al Derecho</t>
  </si>
  <si>
    <t>DER_04U_TEAD</t>
  </si>
  <si>
    <t xml:space="preserve">Martes
</t>
  </si>
  <si>
    <t>Jorge Chamba Guamo</t>
  </si>
  <si>
    <t>Master en Asesoría Jurídica de Empresas</t>
  </si>
  <si>
    <t>Derecho Societario</t>
  </si>
  <si>
    <t>DER_04U_DES</t>
  </si>
  <si>
    <t>16:00 - 18:00</t>
  </si>
  <si>
    <t>DERECHO MERCANTIL</t>
  </si>
  <si>
    <t>LFT_06_DML</t>
  </si>
  <si>
    <r>
      <t xml:space="preserve">Elaborado por: </t>
    </r>
    <r>
      <rPr>
        <sz val="14"/>
        <color rgb="FF000000"/>
        <rFont val="Aptos Display"/>
        <family val="2"/>
        <scheme val="major"/>
      </rPr>
      <t>Mgtr. Andrea Córdova Alvarado</t>
    </r>
  </si>
  <si>
    <r>
      <rPr>
        <b/>
        <sz val="14"/>
        <color rgb="FF000000"/>
        <rFont val="Aptos Display"/>
        <family val="2"/>
        <scheme val="major"/>
      </rPr>
      <t xml:space="preserve">Revisado y Aprobado por: </t>
    </r>
    <r>
      <rPr>
        <sz val="14"/>
        <color rgb="FF000000"/>
        <rFont val="Aptos Display"/>
        <family val="2"/>
        <scheme val="major"/>
      </rPr>
      <t>Mgs. Raquel Veintimilla Quezada</t>
    </r>
  </si>
  <si>
    <r>
      <rPr>
        <b/>
        <sz val="14"/>
        <color rgb="FF000000"/>
        <rFont val="Aptos Display"/>
        <family val="2"/>
        <scheme val="major"/>
      </rPr>
      <t xml:space="preserve">Cargo: </t>
    </r>
    <r>
      <rPr>
        <sz val="14"/>
        <color rgb="FF000000"/>
        <rFont val="Aptos Display"/>
        <family val="2"/>
        <scheme val="major"/>
      </rPr>
      <t>Coordinadora</t>
    </r>
    <r>
      <rPr>
        <b/>
        <sz val="14"/>
        <color rgb="FF000000"/>
        <rFont val="Aptos Display"/>
        <family val="2"/>
        <scheme val="major"/>
      </rPr>
      <t xml:space="preserve"> </t>
    </r>
    <r>
      <rPr>
        <sz val="14"/>
        <color rgb="FF000000"/>
        <rFont val="Aptos Display"/>
        <family val="2"/>
        <scheme val="major"/>
      </rPr>
      <t>de la carrera de Derecho UIDE Loja</t>
    </r>
  </si>
  <si>
    <t>Cargo: Directora Escuela de Derecho UIDE Loja</t>
  </si>
  <si>
    <t xml:space="preserve">Firma: </t>
  </si>
  <si>
    <t>Fecha: 15/09/2025</t>
  </si>
  <si>
    <t>Fecha:18/09/2025</t>
  </si>
  <si>
    <t>PANIFICACIÓN ACADÉMICA / Febrero - Octubre 2025</t>
  </si>
  <si>
    <t>MC</t>
  </si>
  <si>
    <t>ACS</t>
  </si>
  <si>
    <t>Master of arts in development studies major in governance policy and political economy                                          Master universitario en análisis político y asesoría institucional. Phd (C ) Derecho y Ciencia Política.</t>
  </si>
  <si>
    <t>1ero</t>
  </si>
  <si>
    <t>AULA B6</t>
  </si>
  <si>
    <t>Masterclass: Reimaginando la realidad</t>
  </si>
  <si>
    <t>AULA B7</t>
  </si>
  <si>
    <t>Masterclass: Inteligencia artificial y la ley</t>
  </si>
  <si>
    <t>LFT_05_DPAT</t>
  </si>
  <si>
    <t>Actos y Negocios Jurídicos</t>
  </si>
  <si>
    <t>2do</t>
  </si>
  <si>
    <t>FT-02-ANJ</t>
  </si>
  <si>
    <r>
      <rPr>
        <sz val="14"/>
        <color rgb="FF000000"/>
        <rFont val="Aptos Display"/>
        <family val="2"/>
        <scheme val="major"/>
      </rPr>
      <t xml:space="preserve">Práctica Laboral </t>
    </r>
    <r>
      <rPr>
        <b/>
        <sz val="14"/>
        <color rgb="FF000000"/>
        <rFont val="Aptos Display"/>
        <family val="2"/>
        <scheme val="major"/>
      </rPr>
      <t xml:space="preserve"> (necesita sala de audiencias)</t>
    </r>
  </si>
  <si>
    <t>4to</t>
  </si>
  <si>
    <t>LPP_04_PPL</t>
  </si>
  <si>
    <t xml:space="preserve">8:00- 10:00/ 10:00 - 13:00 </t>
  </si>
  <si>
    <r>
      <rPr>
        <sz val="14"/>
        <color rgb="FF000000"/>
        <rFont val="Aptos Display"/>
        <family val="2"/>
        <scheme val="major"/>
      </rPr>
      <t xml:space="preserve">Práctica Civil </t>
    </r>
    <r>
      <rPr>
        <b/>
        <sz val="14"/>
        <color rgb="FF000000"/>
        <rFont val="Aptos Display"/>
        <family val="2"/>
        <scheme val="major"/>
      </rPr>
      <t>(necesita sala de audiencias)</t>
    </r>
  </si>
  <si>
    <t>Master en Relaciones Internacionales y Diplomacia con mención en Política Exterior</t>
  </si>
  <si>
    <r>
      <t xml:space="preserve">Derecho Internacional  </t>
    </r>
    <r>
      <rPr>
        <b/>
        <sz val="14"/>
        <color rgb="FF000000"/>
        <rFont val="Aptos Display"/>
        <family val="2"/>
        <scheme val="major"/>
      </rPr>
      <t>(requiere sala de audiencias)</t>
    </r>
    <r>
      <rPr>
        <sz val="14"/>
        <color rgb="FF000000"/>
        <rFont val="Aptos Display"/>
        <family val="2"/>
        <scheme val="major"/>
      </rPr>
      <t xml:space="preserve"> 3ro y 4to</t>
    </r>
  </si>
  <si>
    <t>AULA C13</t>
  </si>
  <si>
    <t>Teoría de los Derechos Humanos</t>
  </si>
  <si>
    <t>FT-03-TDH</t>
  </si>
  <si>
    <r>
      <rPr>
        <sz val="14"/>
        <color rgb="FF000000"/>
        <rFont val="Aptos Display"/>
        <family val="2"/>
        <scheme val="major"/>
      </rPr>
      <t xml:space="preserve">Análisis crítico del Derecho en su contexto </t>
    </r>
    <r>
      <rPr>
        <b/>
        <sz val="14"/>
        <color rgb="FF000000"/>
        <rFont val="Aptos Display"/>
        <family val="2"/>
        <scheme val="major"/>
      </rPr>
      <t>(requiere sala de audiencias)</t>
    </r>
  </si>
  <si>
    <t>Masterclass: Forjando un mañana sostenible</t>
  </si>
  <si>
    <t>Enseñanza y Aprendizaje con IA</t>
  </si>
  <si>
    <t>Derecho Constitucional</t>
  </si>
  <si>
    <t>FT-02-DEC</t>
  </si>
  <si>
    <t>Instituciones del Derecho Administrativo</t>
  </si>
  <si>
    <t>LFT-04-IDA</t>
  </si>
  <si>
    <t xml:space="preserve">Sistemas Jurídicos Comparados </t>
  </si>
  <si>
    <t xml:space="preserve">1ero </t>
  </si>
  <si>
    <t>10:00-12:00</t>
  </si>
  <si>
    <t xml:space="preserve">AULA </t>
  </si>
  <si>
    <t>Masterclass: Más allá de las competencias culturales</t>
  </si>
  <si>
    <r>
      <rPr>
        <sz val="14"/>
        <color rgb="FF000000"/>
        <rFont val="Aptos Display"/>
        <family val="2"/>
        <scheme val="major"/>
      </rPr>
      <t xml:space="preserve">Teoría de la Prueba </t>
    </r>
    <r>
      <rPr>
        <b/>
        <sz val="14"/>
        <color rgb="FF000000"/>
        <rFont val="Aptos Display"/>
        <family val="2"/>
        <scheme val="major"/>
      </rPr>
      <t>(requiere sala de audiencias)</t>
    </r>
  </si>
  <si>
    <t>LFT_06_TPA</t>
  </si>
  <si>
    <t>16h00 a 19h00</t>
  </si>
  <si>
    <t>Filosofía del Derecho</t>
  </si>
  <si>
    <t>FT-02-FLD</t>
  </si>
  <si>
    <r>
      <rPr>
        <sz val="14"/>
        <color rgb="FF000000"/>
        <rFont val="Aptos Display"/>
        <family val="2"/>
        <scheme val="major"/>
      </rPr>
      <t xml:space="preserve">Garantías de Derechos y Control Constitucional </t>
    </r>
    <r>
      <rPr>
        <b/>
        <sz val="14"/>
        <color rgb="FF000000"/>
        <rFont val="Aptos Display"/>
        <family val="2"/>
        <scheme val="major"/>
      </rPr>
      <t>(requiere sala de audiencias)</t>
    </r>
  </si>
  <si>
    <t>LFT-05-GDC</t>
  </si>
  <si>
    <t>AULAC12</t>
  </si>
  <si>
    <t>08:00 - 13:00</t>
  </si>
  <si>
    <t>AULA C14</t>
  </si>
  <si>
    <t>Masterclass: Actuando bajo la incertidumbre</t>
  </si>
  <si>
    <t>Ofreciendo excelencia en el servicio</t>
  </si>
  <si>
    <t xml:space="preserve">Derecho  Familia </t>
  </si>
  <si>
    <t>DER_04U_DEF</t>
  </si>
  <si>
    <r>
      <rPr>
        <sz val="14"/>
        <color rgb="FF000000"/>
        <rFont val="Aptos Display"/>
        <family val="2"/>
        <scheme val="major"/>
      </rPr>
      <t xml:space="preserve">Vinculación, Servicio Comunitario y Litigio Estratégico (Centro de DDHH - UIDE) </t>
    </r>
    <r>
      <rPr>
        <b/>
        <sz val="14"/>
        <color rgb="FF000000"/>
        <rFont val="Aptos Display"/>
        <family val="2"/>
        <scheme val="major"/>
      </rPr>
      <t>(Requiere sala de audiencias)</t>
    </r>
  </si>
  <si>
    <t>13:00 - 18:00</t>
  </si>
  <si>
    <t>AULA B5</t>
  </si>
  <si>
    <t>Planificación para comunidades saludables y felices</t>
  </si>
  <si>
    <t>Teoría General del Derecho Penal</t>
  </si>
  <si>
    <t>FT-04-TGDP</t>
  </si>
  <si>
    <t>Derecho Procesal Penal</t>
  </si>
  <si>
    <t>AULA C12</t>
  </si>
  <si>
    <t>Master en Fiscalidad Internacional</t>
  </si>
  <si>
    <t>Metodología de la investigación-métodos cualitativos</t>
  </si>
  <si>
    <t>PP_05_MIG</t>
  </si>
  <si>
    <t>10h00 a 13h00</t>
  </si>
  <si>
    <t>AULA C11</t>
  </si>
  <si>
    <t>DER_04U_SII</t>
  </si>
  <si>
    <t>8:00-10:00</t>
  </si>
  <si>
    <t>Mentalidad inclusiva</t>
  </si>
  <si>
    <t>LAB. COMPUTO 3</t>
  </si>
  <si>
    <t>7:00-10:00</t>
  </si>
  <si>
    <t>LFT-05-DPES</t>
  </si>
  <si>
    <t xml:space="preserve">Daniel  González </t>
  </si>
  <si>
    <t>FT-03-DPO</t>
  </si>
  <si>
    <r>
      <t xml:space="preserve">Derecho Civil Obligaciones </t>
    </r>
    <r>
      <rPr>
        <b/>
        <sz val="14"/>
        <color rgb="FF000000"/>
        <rFont val="Aptos Display"/>
        <family val="2"/>
        <scheme val="major"/>
      </rPr>
      <t>(requiere sala de audiencias)</t>
    </r>
  </si>
  <si>
    <t>LFT_04_DCO</t>
  </si>
  <si>
    <t>SALA DE AUDEINCIAS</t>
  </si>
  <si>
    <t>Samaniego Burneo Renato Andrés</t>
  </si>
  <si>
    <t>Maestro en Derecho</t>
  </si>
  <si>
    <r>
      <rPr>
        <sz val="14"/>
        <color rgb="FF000000"/>
        <rFont val="Aptos Display"/>
        <family val="2"/>
        <scheme val="major"/>
      </rPr>
      <t xml:space="preserve">Derecho de Trabajo </t>
    </r>
    <r>
      <rPr>
        <b/>
        <sz val="14"/>
        <color rgb="FF000000"/>
        <rFont val="Aptos Display"/>
        <family val="2"/>
        <scheme val="major"/>
      </rPr>
      <t>(requiere sala de audiencias)</t>
    </r>
  </si>
  <si>
    <t>LFT-04-DTJ</t>
  </si>
  <si>
    <r>
      <rPr>
        <sz val="14"/>
        <color rgb="FF000000"/>
        <rFont val="Aptos Display"/>
        <family val="2"/>
        <scheme val="major"/>
      </rPr>
      <t xml:space="preserve">Métodos Alternativos de Solución de Conflictos </t>
    </r>
    <r>
      <rPr>
        <b/>
        <sz val="14"/>
        <color rgb="FF000000"/>
        <rFont val="Aptos Display"/>
        <family val="2"/>
        <scheme val="major"/>
      </rPr>
      <t>(requiere sala de audiencias)</t>
    </r>
  </si>
  <si>
    <t>LFT-07-MASC</t>
  </si>
  <si>
    <t>Métodos Alternativos de Solución de Conflictos (requiere sala de audiencias)</t>
  </si>
  <si>
    <t>FT-02-MASC</t>
  </si>
  <si>
    <t>Práctica Procesal (requiere sala de audiencias)</t>
  </si>
  <si>
    <t>LPP_05_PPP</t>
  </si>
  <si>
    <r>
      <rPr>
        <sz val="14"/>
        <color rgb="FF000000"/>
        <rFont val="Aptos Display"/>
        <family val="2"/>
        <scheme val="major"/>
      </rPr>
      <t xml:space="preserve">TÉCNICAS DE ARGUMENTACIÓN JURÍDICA </t>
    </r>
    <r>
      <rPr>
        <b/>
        <sz val="14"/>
        <color rgb="FF000000"/>
        <rFont val="Aptos Display"/>
        <family val="2"/>
        <scheme val="major"/>
      </rPr>
      <t>(requiere sala de audiencias)</t>
    </r>
  </si>
  <si>
    <t>Presencial</t>
  </si>
  <si>
    <t>AULA C10</t>
  </si>
  <si>
    <t xml:space="preserve">Master </t>
  </si>
  <si>
    <t xml:space="preserve">
AULA C13</t>
  </si>
  <si>
    <t>Fundamentos de la Economía circular</t>
  </si>
  <si>
    <t xml:space="preserve">
AULA B7</t>
  </si>
  <si>
    <t>POR CONTRATAR</t>
  </si>
  <si>
    <t>Master</t>
  </si>
  <si>
    <t>SIN AULA</t>
  </si>
  <si>
    <t xml:space="preserve">VIRTUAL </t>
  </si>
  <si>
    <t xml:space="preserve">
Martes
Miércoles
</t>
  </si>
  <si>
    <t>17:00 - 19:00
18:00 - 19:00</t>
  </si>
  <si>
    <t>LFT_05_DSOC</t>
  </si>
  <si>
    <t>Fundamentos de la sostenibilidad organizacional</t>
  </si>
  <si>
    <t>Max Brito Cevallos</t>
  </si>
  <si>
    <t>Magister en Política Social de la Infancia y Adolescencia</t>
  </si>
  <si>
    <r>
      <rPr>
        <sz val="14"/>
        <color rgb="FF000000"/>
        <rFont val="Aptos Display"/>
        <family val="2"/>
        <scheme val="major"/>
      </rPr>
      <t xml:space="preserve">Derecho Procesal General </t>
    </r>
    <r>
      <rPr>
        <b/>
        <sz val="14"/>
        <color rgb="FF000000"/>
        <rFont val="Aptos Display"/>
        <family val="2"/>
        <scheme val="major"/>
      </rPr>
      <t>(Requiere sala de audiencias)</t>
    </r>
  </si>
  <si>
    <t>LFT-04-DPG</t>
  </si>
  <si>
    <t>Pablo Piedra Vivar</t>
  </si>
  <si>
    <t>Master en Asesoría Jurídica de Empresas, Master en Derecho Internacional, Especialidad en Derecho Constitucional</t>
  </si>
  <si>
    <t>LFT-07-DASE</t>
  </si>
  <si>
    <t>AULA C21</t>
  </si>
  <si>
    <r>
      <rPr>
        <b/>
        <sz val="14"/>
        <color theme="1"/>
        <rFont val="Aptos Display"/>
        <family val="1"/>
        <scheme val="major"/>
      </rPr>
      <t xml:space="preserve">Fecha: </t>
    </r>
    <r>
      <rPr>
        <sz val="14"/>
        <color theme="1"/>
        <rFont val="Aptos Display"/>
        <family val="2"/>
        <scheme val="major"/>
      </rPr>
      <t>28/10</t>
    </r>
    <r>
      <rPr>
        <sz val="14"/>
        <color theme="1"/>
        <rFont val="Aptos Display"/>
        <family val="1"/>
        <scheme val="major"/>
      </rPr>
      <t>/2024</t>
    </r>
  </si>
  <si>
    <t>Fecha: 28/10/2024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</si>
</sst>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Aptos Narrow"/>
      <family val="2"/>
      <scheme val="minor"/>
    </font>
    <font>
      <b/>
      <sz val="14"/>
      <name val="Aptos Display"/>
      <family val="1"/>
      <scheme val="major"/>
    </font>
    <font>
      <sz val="14"/>
      <name val="Aptos Display"/>
      <family val="1"/>
      <scheme val="major"/>
    </font>
    <font>
      <sz val="14"/>
      <color rgb="FF000000"/>
      <name val="Aptos Display"/>
      <family val="2"/>
      <scheme val="major"/>
    </font>
    <font>
      <b/>
      <sz val="14"/>
      <color rgb="FF000000"/>
      <name val="Aptos Display"/>
      <family val="2"/>
      <scheme val="major"/>
    </font>
    <font>
      <b/>
      <sz val="11"/>
      <color rgb="FFFF0000"/>
      <name val="Calibri"/>
      <family val="2"/>
    </font>
    <font>
      <b/>
      <sz val="11"/>
      <color rgb="FFFF0000"/>
      <name val="Calibri Light"/>
      <family val="1"/>
    </font>
    <font>
      <sz val="14"/>
      <color rgb="FF000000"/>
      <name val="Aptos Display"/>
      <family val="1"/>
      <scheme val="major"/>
    </font>
    <font>
      <sz val="14"/>
      <name val="Aptos Display"/>
      <family val="2"/>
      <scheme val="major"/>
    </font>
    <font>
      <b/>
      <sz val="11"/>
      <color rgb="FFFF0000"/>
      <name val="Aptos Narrow"/>
      <family val="2"/>
    </font>
    <font>
      <sz val="11"/>
      <color rgb="FF000000"/>
      <name val="Aptos Narrow"/>
      <family val="2"/>
      <scheme val="minor"/>
    </font>
    <font>
      <b/>
      <sz val="20"/>
      <color theme="1"/>
      <name val="Aptos Display"/>
      <family val="1"/>
      <scheme val="major"/>
    </font>
    <font>
      <b/>
      <sz val="14"/>
      <color theme="1"/>
      <name val="Aptos Display"/>
      <family val="1"/>
      <scheme val="major"/>
    </font>
    <font>
      <b/>
      <sz val="14"/>
      <color rgb="FF000000"/>
      <name val="Aptos Display"/>
      <family val="1"/>
      <scheme val="major"/>
    </font>
    <font>
      <sz val="14"/>
      <name val="Calibri Light"/>
      <family val="1"/>
    </font>
    <font>
      <b/>
      <sz val="12"/>
      <color theme="1"/>
      <name val="Aptos Display"/>
      <family val="1"/>
      <scheme val="major"/>
    </font>
    <font>
      <sz val="18"/>
      <color theme="1"/>
      <name val="Aptos Narrow"/>
      <family val="2"/>
      <scheme val="minor"/>
    </font>
    <font>
      <sz val="14"/>
      <color theme="1"/>
      <name val="Aptos Display"/>
      <family val="1"/>
      <scheme val="major"/>
    </font>
    <font>
      <sz val="12"/>
      <color theme="1"/>
      <name val="Aptos Display"/>
      <family val="1"/>
      <scheme val="major"/>
    </font>
    <font>
      <sz val="14"/>
      <color theme="1"/>
      <name val="Aptos Display"/>
      <family val="2"/>
      <scheme val="major"/>
    </font>
    <font>
      <b/>
      <sz val="14"/>
      <color rgb="FF000000"/>
      <name val="Aptos Display"/>
      <family val="2"/>
    </font>
    <font>
      <b/>
      <sz val="14"/>
      <color theme="1"/>
      <name val="Aptos Display"/>
      <family val="2"/>
      <scheme val="major"/>
    </font>
    <font>
      <sz val="14"/>
      <color rgb="FF000000"/>
      <name val="Aptos Display"/>
      <family val="1"/>
    </font>
    <font>
      <sz val="14"/>
      <name val="Aptos Display"/>
      <family val="1"/>
    </font>
  </fonts>
  <fills count="2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5535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CE78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14F7D5"/>
        <bgColor indexed="64"/>
      </patternFill>
    </fill>
    <fill>
      <patternFill patternType="solid">
        <fgColor rgb="FFFF1FF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156082"/>
        <bgColor rgb="FF000000"/>
      </patternFill>
    </fill>
  </fills>
  <borders count="5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 style="thin">
        <color rgb="FF000000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20" fontId="2" fillId="5" borderId="2" xfId="0" applyNumberFormat="1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2" fillId="7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11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 wrapText="1"/>
    </xf>
    <xf numFmtId="0" fontId="7" fillId="7" borderId="5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11" fillId="0" borderId="0" xfId="0" applyFont="1" applyAlignment="1">
      <alignment horizontal="center" wrapText="1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12" fillId="15" borderId="2" xfId="0" applyFont="1" applyFill="1" applyBorder="1" applyAlignment="1">
      <alignment horizontal="center" vertical="center" wrapText="1"/>
    </xf>
    <xf numFmtId="0" fontId="12" fillId="15" borderId="2" xfId="0" applyFont="1" applyFill="1" applyBorder="1" applyAlignment="1">
      <alignment horizontal="center" vertical="center" textRotation="135" wrapText="1"/>
    </xf>
    <xf numFmtId="0" fontId="12" fillId="15" borderId="6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6" fillId="9" borderId="10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8" borderId="6" xfId="0" applyFont="1" applyFill="1" applyBorder="1" applyAlignment="1">
      <alignment horizontal="center" vertical="center" wrapText="1"/>
    </xf>
    <xf numFmtId="0" fontId="2" fillId="7" borderId="23" xfId="0" applyFont="1" applyFill="1" applyBorder="1" applyAlignment="1">
      <alignment horizontal="center" vertical="center" wrapText="1"/>
    </xf>
    <xf numFmtId="0" fontId="2" fillId="7" borderId="2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7" borderId="12" xfId="0" applyFont="1" applyFill="1" applyBorder="1" applyAlignment="1">
      <alignment horizontal="center" vertical="center" wrapText="1"/>
    </xf>
    <xf numFmtId="0" fontId="2" fillId="18" borderId="10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2" fillId="14" borderId="10" xfId="0" applyFont="1" applyFill="1" applyBorder="1" applyAlignment="1">
      <alignment horizontal="center" vertical="center" wrapText="1"/>
    </xf>
    <xf numFmtId="21" fontId="2" fillId="5" borderId="2" xfId="0" applyNumberFormat="1" applyFont="1" applyFill="1" applyBorder="1" applyAlignment="1">
      <alignment horizontal="center" vertical="center" wrapText="1"/>
    </xf>
    <xf numFmtId="0" fontId="2" fillId="10" borderId="10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19" borderId="6" xfId="0" applyFont="1" applyFill="1" applyBorder="1" applyAlignment="1">
      <alignment horizontal="center" vertical="center" wrapText="1"/>
    </xf>
    <xf numFmtId="0" fontId="7" fillId="7" borderId="23" xfId="0" applyFont="1" applyFill="1" applyBorder="1" applyAlignment="1">
      <alignment horizontal="center" vertical="center" wrapText="1"/>
    </xf>
    <xf numFmtId="0" fontId="6" fillId="9" borderId="8" xfId="0" applyFont="1" applyFill="1" applyBorder="1" applyAlignment="1">
      <alignment horizontal="center" vertical="center" wrapText="1"/>
    </xf>
    <xf numFmtId="0" fontId="2" fillId="11" borderId="6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 wrapText="1"/>
    </xf>
    <xf numFmtId="0" fontId="6" fillId="9" borderId="6" xfId="0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vertical="center"/>
    </xf>
    <xf numFmtId="0" fontId="16" fillId="2" borderId="0" xfId="0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0" borderId="37" xfId="0" applyBorder="1" applyAlignment="1">
      <alignment horizontal="center"/>
    </xf>
    <xf numFmtId="0" fontId="10" fillId="0" borderId="38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13" xfId="0" applyBorder="1" applyAlignment="1">
      <alignment horizontal="center"/>
    </xf>
    <xf numFmtId="0" fontId="10" fillId="0" borderId="39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0" xfId="0" applyBorder="1" applyAlignment="1">
      <alignment horizontal="center"/>
    </xf>
    <xf numFmtId="0" fontId="10" fillId="0" borderId="41" xfId="0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1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17" borderId="2" xfId="0" applyFont="1" applyFill="1" applyBorder="1" applyAlignment="1">
      <alignment horizontal="center" vertical="center" wrapText="1"/>
    </xf>
    <xf numFmtId="0" fontId="7" fillId="17" borderId="2" xfId="0" applyFont="1" applyFill="1" applyBorder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7" fillId="17" borderId="10" xfId="0" applyFont="1" applyFill="1" applyBorder="1" applyAlignment="1">
      <alignment horizontal="center" vertical="center" wrapText="1"/>
    </xf>
    <xf numFmtId="0" fontId="7" fillId="17" borderId="6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3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20" fontId="2" fillId="2" borderId="2" xfId="0" applyNumberFormat="1" applyFont="1" applyFill="1" applyBorder="1" applyAlignment="1">
      <alignment horizontal="center" vertical="center" wrapText="1"/>
    </xf>
    <xf numFmtId="0" fontId="7" fillId="2" borderId="23" xfId="0" applyFont="1" applyFill="1" applyBorder="1" applyAlignment="1">
      <alignment horizontal="center" vertical="center" wrapText="1"/>
    </xf>
    <xf numFmtId="0" fontId="2" fillId="20" borderId="2" xfId="0" applyFont="1" applyFill="1" applyBorder="1" applyAlignment="1">
      <alignment horizontal="center" vertical="center" wrapText="1"/>
    </xf>
    <xf numFmtId="0" fontId="2" fillId="20" borderId="10" xfId="0" applyFont="1" applyFill="1" applyBorder="1" applyAlignment="1">
      <alignment horizontal="center" vertical="center" wrapText="1"/>
    </xf>
    <xf numFmtId="0" fontId="2" fillId="20" borderId="6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0" fontId="8" fillId="20" borderId="2" xfId="0" applyFont="1" applyFill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8" fillId="20" borderId="6" xfId="0" applyFont="1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8" fillId="7" borderId="6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 wrapText="1"/>
    </xf>
    <xf numFmtId="0" fontId="7" fillId="11" borderId="2" xfId="0" applyFont="1" applyFill="1" applyBorder="1" applyAlignment="1">
      <alignment horizontal="center" vertical="center" wrapText="1"/>
    </xf>
    <xf numFmtId="0" fontId="7" fillId="11" borderId="6" xfId="0" applyFont="1" applyFill="1" applyBorder="1" applyAlignment="1">
      <alignment horizontal="center" vertical="center" wrapText="1"/>
    </xf>
    <xf numFmtId="0" fontId="3" fillId="17" borderId="6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11" borderId="6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0" borderId="6" xfId="0" applyFont="1" applyBorder="1" applyAlignment="1">
      <alignment horizontal="center" vertical="center" wrapText="1"/>
    </xf>
    <xf numFmtId="0" fontId="2" fillId="7" borderId="46" xfId="0" applyFont="1" applyFill="1" applyBorder="1" applyAlignment="1">
      <alignment horizontal="center" vertical="center" wrapText="1"/>
    </xf>
    <xf numFmtId="0" fontId="2" fillId="21" borderId="6" xfId="0" applyFont="1" applyFill="1" applyBorder="1" applyAlignment="1">
      <alignment horizontal="center" vertical="center" wrapText="1"/>
    </xf>
    <xf numFmtId="0" fontId="2" fillId="21" borderId="10" xfId="0" applyFont="1" applyFill="1" applyBorder="1" applyAlignment="1">
      <alignment horizontal="center" vertical="center" wrapText="1"/>
    </xf>
    <xf numFmtId="0" fontId="2" fillId="21" borderId="2" xfId="0" applyFont="1" applyFill="1" applyBorder="1" applyAlignment="1">
      <alignment horizontal="center" vertical="center" wrapText="1"/>
    </xf>
    <xf numFmtId="0" fontId="8" fillId="21" borderId="2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6" fillId="9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22" fillId="22" borderId="2" xfId="0" applyFont="1" applyFill="1" applyBorder="1" applyAlignment="1">
      <alignment wrapText="1"/>
    </xf>
    <xf numFmtId="0" fontId="23" fillId="23" borderId="15" xfId="0" applyFont="1" applyFill="1" applyBorder="1" applyAlignment="1">
      <alignment wrapText="1"/>
    </xf>
    <xf numFmtId="0" fontId="23" fillId="9" borderId="15" xfId="0" applyFont="1" applyFill="1" applyBorder="1" applyAlignment="1">
      <alignment horizont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23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1" fillId="7" borderId="6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7" borderId="10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4" fillId="9" borderId="48" xfId="0" applyFont="1" applyFill="1" applyBorder="1" applyAlignment="1">
      <alignment horizontal="center" vertical="center" wrapText="1"/>
    </xf>
    <xf numFmtId="0" fontId="14" fillId="9" borderId="4" xfId="0" applyFont="1" applyFill="1" applyBorder="1" applyAlignment="1">
      <alignment horizontal="center" vertical="center" wrapText="1"/>
    </xf>
    <xf numFmtId="0" fontId="14" fillId="9" borderId="10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7" fillId="11" borderId="6" xfId="0" applyFont="1" applyFill="1" applyBorder="1" applyAlignment="1">
      <alignment horizontal="center" vertical="center" wrapText="1"/>
    </xf>
    <xf numFmtId="0" fontId="7" fillId="11" borderId="10" xfId="0" applyFont="1" applyFill="1" applyBorder="1" applyAlignment="1">
      <alignment horizontal="center" vertical="center" wrapText="1"/>
    </xf>
    <xf numFmtId="0" fontId="2" fillId="20" borderId="6" xfId="0" applyFont="1" applyFill="1" applyBorder="1" applyAlignment="1">
      <alignment horizontal="center" vertical="center" wrapText="1"/>
    </xf>
    <xf numFmtId="0" fontId="2" fillId="20" borderId="10" xfId="0" applyFont="1" applyFill="1" applyBorder="1" applyAlignment="1">
      <alignment horizontal="center" vertical="center" wrapText="1"/>
    </xf>
    <xf numFmtId="0" fontId="7" fillId="11" borderId="2" xfId="0" applyFont="1" applyFill="1" applyBorder="1" applyAlignment="1">
      <alignment horizontal="center" vertical="center" wrapText="1"/>
    </xf>
    <xf numFmtId="0" fontId="3" fillId="17" borderId="6" xfId="0" applyFont="1" applyFill="1" applyBorder="1" applyAlignment="1">
      <alignment horizontal="center" vertical="center" wrapText="1"/>
    </xf>
    <xf numFmtId="0" fontId="7" fillId="17" borderId="10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wrapText="1"/>
    </xf>
    <xf numFmtId="0" fontId="12" fillId="15" borderId="2" xfId="0" applyFont="1" applyFill="1" applyBorder="1" applyAlignment="1">
      <alignment horizontal="center" vertical="center" wrapText="1"/>
    </xf>
    <xf numFmtId="0" fontId="12" fillId="15" borderId="2" xfId="0" applyFont="1" applyFill="1" applyBorder="1" applyAlignment="1">
      <alignment horizontal="center" vertical="center" textRotation="135" wrapText="1"/>
    </xf>
    <xf numFmtId="0" fontId="12" fillId="15" borderId="6" xfId="0" applyFont="1" applyFill="1" applyBorder="1" applyAlignment="1">
      <alignment horizontal="center" vertical="center" textRotation="135" wrapText="1"/>
    </xf>
    <xf numFmtId="0" fontId="12" fillId="15" borderId="6" xfId="0" applyFont="1" applyFill="1" applyBorder="1" applyAlignment="1">
      <alignment horizontal="center" vertical="center" wrapText="1"/>
    </xf>
    <xf numFmtId="0" fontId="13" fillId="15" borderId="2" xfId="0" applyFont="1" applyFill="1" applyBorder="1" applyAlignment="1">
      <alignment horizontal="center" vertical="center" wrapText="1"/>
    </xf>
    <xf numFmtId="0" fontId="13" fillId="15" borderId="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6" fillId="9" borderId="20" xfId="0" applyFont="1" applyFill="1" applyBorder="1" applyAlignment="1">
      <alignment horizontal="center" vertical="center" wrapText="1"/>
    </xf>
    <xf numFmtId="0" fontId="6" fillId="9" borderId="25" xfId="0" applyFont="1" applyFill="1" applyBorder="1" applyAlignment="1">
      <alignment horizontal="center" vertical="center" wrapText="1"/>
    </xf>
    <xf numFmtId="0" fontId="2" fillId="7" borderId="6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45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3" fillId="17" borderId="19" xfId="0" applyFont="1" applyFill="1" applyBorder="1" applyAlignment="1">
      <alignment horizontal="center" vertical="center"/>
    </xf>
    <xf numFmtId="0" fontId="3" fillId="17" borderId="14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27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center" vertical="center" wrapText="1"/>
    </xf>
    <xf numFmtId="0" fontId="1" fillId="7" borderId="6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 wrapText="1"/>
    </xf>
    <xf numFmtId="0" fontId="7" fillId="2" borderId="30" xfId="0" applyFont="1" applyFill="1" applyBorder="1" applyAlignment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 wrapText="1"/>
    </xf>
    <xf numFmtId="0" fontId="8" fillId="7" borderId="6" xfId="0" applyFont="1" applyFill="1" applyBorder="1" applyAlignment="1">
      <alignment horizontal="center" vertical="center" wrapText="1"/>
    </xf>
    <xf numFmtId="0" fontId="8" fillId="7" borderId="10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8" fillId="2" borderId="49" xfId="0" applyFont="1" applyFill="1" applyBorder="1" applyAlignment="1">
      <alignment horizontal="center" vertical="center" wrapText="1"/>
    </xf>
    <xf numFmtId="0" fontId="8" fillId="2" borderId="26" xfId="0" applyFont="1" applyFill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0" fontId="12" fillId="0" borderId="35" xfId="0" applyFont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1" fillId="7" borderId="24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20" fillId="0" borderId="33" xfId="0" applyFont="1" applyBorder="1" applyAlignment="1">
      <alignment horizontal="center" vertical="center"/>
    </xf>
    <xf numFmtId="0" fontId="17" fillId="0" borderId="34" xfId="0" applyFont="1" applyBorder="1" applyAlignment="1">
      <alignment horizontal="center" vertical="center"/>
    </xf>
    <xf numFmtId="0" fontId="21" fillId="0" borderId="36" xfId="0" applyFont="1" applyBorder="1" applyAlignment="1">
      <alignment horizontal="center" vertical="center"/>
    </xf>
    <xf numFmtId="0" fontId="21" fillId="0" borderId="34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0" fontId="2" fillId="7" borderId="46" xfId="0" applyFont="1" applyFill="1" applyBorder="1" applyAlignment="1">
      <alignment horizontal="center" vertical="center" wrapText="1"/>
    </xf>
    <xf numFmtId="0" fontId="2" fillId="7" borderId="25" xfId="0" applyFont="1" applyFill="1" applyBorder="1" applyAlignment="1">
      <alignment horizontal="center" vertical="center" wrapText="1"/>
    </xf>
    <xf numFmtId="0" fontId="2" fillId="7" borderId="47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3" fillId="17" borderId="7" xfId="0" applyFont="1" applyFill="1" applyBorder="1" applyAlignment="1">
      <alignment horizontal="center" vertical="center" wrapText="1"/>
    </xf>
    <xf numFmtId="0" fontId="3" fillId="17" borderId="1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2" fillId="8" borderId="6" xfId="0" applyFont="1" applyFill="1" applyBorder="1" applyAlignment="1">
      <alignment horizontal="center" vertical="center" wrapText="1"/>
    </xf>
    <xf numFmtId="0" fontId="2" fillId="8" borderId="10" xfId="0" applyFont="1" applyFill="1" applyBorder="1" applyAlignment="1">
      <alignment horizontal="center" vertical="center" wrapText="1"/>
    </xf>
    <xf numFmtId="0" fontId="2" fillId="7" borderId="23" xfId="0" applyFont="1" applyFill="1" applyBorder="1" applyAlignment="1">
      <alignment horizontal="center" vertical="center" wrapText="1"/>
    </xf>
    <xf numFmtId="0" fontId="2" fillId="7" borderId="24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center" vertical="center" wrapText="1"/>
    </xf>
    <xf numFmtId="0" fontId="6" fillId="9" borderId="2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2" fillId="16" borderId="6" xfId="0" applyFont="1" applyFill="1" applyBorder="1" applyAlignment="1">
      <alignment horizontal="center" vertical="center" wrapText="1"/>
    </xf>
    <xf numFmtId="0" fontId="2" fillId="16" borderId="4" xfId="0" applyFont="1" applyFill="1" applyBorder="1" applyAlignment="1">
      <alignment horizontal="center" vertical="center" wrapText="1"/>
    </xf>
    <xf numFmtId="0" fontId="2" fillId="16" borderId="10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17" borderId="10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2" xfId="0" applyFont="1" applyFill="1" applyBorder="1" applyAlignment="1">
      <alignment horizontal="center" vertical="center" wrapText="1"/>
    </xf>
    <xf numFmtId="20" fontId="2" fillId="5" borderId="6" xfId="0" applyNumberFormat="1" applyFont="1" applyFill="1" applyBorder="1" applyAlignment="1">
      <alignment horizontal="center" vertical="center" wrapText="1"/>
    </xf>
    <xf numFmtId="20" fontId="2" fillId="5" borderId="10" xfId="0" applyNumberFormat="1" applyFont="1" applyFill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8" fillId="10" borderId="6" xfId="0" applyFont="1" applyFill="1" applyBorder="1" applyAlignment="1">
      <alignment horizontal="center" vertical="center"/>
    </xf>
    <xf numFmtId="0" fontId="8" fillId="10" borderId="10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2" fillId="14" borderId="6" xfId="0" applyFont="1" applyFill="1" applyBorder="1" applyAlignment="1">
      <alignment horizontal="center" vertical="center" wrapText="1"/>
    </xf>
    <xf numFmtId="0" fontId="2" fillId="14" borderId="10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4" fillId="9" borderId="6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10" xfId="0" applyFont="1" applyFill="1" applyBorder="1" applyAlignment="1">
      <alignment horizontal="center" vertical="center" wrapText="1"/>
    </xf>
    <xf numFmtId="0" fontId="8" fillId="7" borderId="23" xfId="0" applyFont="1" applyFill="1" applyBorder="1" applyAlignment="1">
      <alignment horizontal="center" vertical="center" wrapText="1"/>
    </xf>
    <xf numFmtId="0" fontId="8" fillId="7" borderId="24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8" fillId="7" borderId="5" xfId="0" applyFont="1" applyFill="1" applyBorder="1" applyAlignment="1">
      <alignment horizontal="center" vertical="center" wrapText="1"/>
    </xf>
    <xf numFmtId="0" fontId="6" fillId="9" borderId="6" xfId="0" applyFont="1" applyFill="1" applyBorder="1" applyAlignment="1">
      <alignment horizontal="center" vertical="center" wrapText="1"/>
    </xf>
    <xf numFmtId="0" fontId="6" fillId="9" borderId="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11" borderId="6" xfId="0" applyFont="1" applyFill="1" applyBorder="1" applyAlignment="1">
      <alignment horizontal="center" vertical="center" wrapText="1"/>
    </xf>
    <xf numFmtId="0" fontId="2" fillId="11" borderId="10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8" fillId="7" borderId="6" xfId="0" applyFont="1" applyFill="1" applyBorder="1" applyAlignment="1">
      <alignment horizontal="center" vertical="center"/>
    </xf>
    <xf numFmtId="0" fontId="8" fillId="7" borderId="10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17" fillId="0" borderId="33" xfId="0" applyFont="1" applyBorder="1" applyAlignment="1">
      <alignment horizontal="center" vertical="center"/>
    </xf>
    <xf numFmtId="0" fontId="17" fillId="0" borderId="36" xfId="0" applyFont="1" applyBorder="1" applyAlignment="1">
      <alignment horizontal="center" vertical="center"/>
    </xf>
    <xf numFmtId="0" fontId="5" fillId="9" borderId="20" xfId="0" applyFont="1" applyFill="1" applyBorder="1" applyAlignment="1">
      <alignment horizontal="center" vertical="center"/>
    </xf>
    <xf numFmtId="0" fontId="5" fillId="9" borderId="22" xfId="0" applyFont="1" applyFill="1" applyBorder="1" applyAlignment="1">
      <alignment horizontal="center" vertical="center"/>
    </xf>
    <xf numFmtId="0" fontId="8" fillId="12" borderId="6" xfId="0" applyFont="1" applyFill="1" applyBorder="1" applyAlignment="1">
      <alignment horizontal="center" vertical="center"/>
    </xf>
    <xf numFmtId="0" fontId="8" fillId="12" borderId="10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8" fillId="13" borderId="6" xfId="0" applyFont="1" applyFill="1" applyBorder="1" applyAlignment="1">
      <alignment horizontal="center" vertical="center"/>
    </xf>
    <xf numFmtId="0" fontId="8" fillId="13" borderId="10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851690</xdr:colOff>
      <xdr:row>0</xdr:row>
      <xdr:rowOff>0</xdr:rowOff>
    </xdr:from>
    <xdr:to>
      <xdr:col>8</xdr:col>
      <xdr:colOff>272755</xdr:colOff>
      <xdr:row>5</xdr:row>
      <xdr:rowOff>95250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4F6DEE0-3CC9-4B50-B429-7ADED61A877F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728" t="12643" r="31418" b="21839"/>
        <a:stretch/>
      </xdr:blipFill>
      <xdr:spPr bwMode="auto">
        <a:xfrm>
          <a:off x="13434716" y="0"/>
          <a:ext cx="3047250" cy="10477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2190750</xdr:colOff>
      <xdr:row>57</xdr:row>
      <xdr:rowOff>133350</xdr:rowOff>
    </xdr:from>
    <xdr:to>
      <xdr:col>4</xdr:col>
      <xdr:colOff>1352550</xdr:colOff>
      <xdr:row>61</xdr:row>
      <xdr:rowOff>85724</xdr:rowOff>
    </xdr:to>
    <xdr:pic>
      <xdr:nvPicPr>
        <xdr:cNvPr id="10" name="Imagen 2">
          <a:extLst>
            <a:ext uri="{FF2B5EF4-FFF2-40B4-BE49-F238E27FC236}">
              <a16:creationId xmlns:a16="http://schemas.microsoft.com/office/drawing/2014/main" id="{AA360FB3-18E7-9965-2DD5-65512035E88A}"/>
            </a:ext>
            <a:ext uri="{147F2762-F138-4A5C-976F-8EAC2B608ADB}">
              <a16:predDERef xmlns:a16="http://schemas.microsoft.com/office/drawing/2014/main" pred="{C4F6DEE0-3CC9-4B50-B429-7ADED61A87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05775" y="35594925"/>
          <a:ext cx="2295525" cy="714375"/>
        </a:xfrm>
        <a:prstGeom prst="rect">
          <a:avLst/>
        </a:prstGeom>
      </xdr:spPr>
    </xdr:pic>
    <xdr:clientData/>
  </xdr:twoCellAnchor>
  <xdr:twoCellAnchor editAs="oneCell">
    <xdr:from>
      <xdr:col>8</xdr:col>
      <xdr:colOff>95250</xdr:colOff>
      <xdr:row>57</xdr:row>
      <xdr:rowOff>57150</xdr:rowOff>
    </xdr:from>
    <xdr:to>
      <xdr:col>9</xdr:col>
      <xdr:colOff>361950</xdr:colOff>
      <xdr:row>61</xdr:row>
      <xdr:rowOff>161924</xdr:rowOff>
    </xdr:to>
    <xdr:pic>
      <xdr:nvPicPr>
        <xdr:cNvPr id="13" name="Imagen 3">
          <a:extLst>
            <a:ext uri="{FF2B5EF4-FFF2-40B4-BE49-F238E27FC236}">
              <a16:creationId xmlns:a16="http://schemas.microsoft.com/office/drawing/2014/main" id="{9EC24A92-A22A-AD16-A60E-D53A8CE96638}"/>
            </a:ext>
            <a:ext uri="{147F2762-F138-4A5C-976F-8EAC2B608ADB}">
              <a16:predDERef xmlns:a16="http://schemas.microsoft.com/office/drawing/2014/main" pred="{AA360FB3-18E7-9965-2DD5-65512035E8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316325" y="35518725"/>
          <a:ext cx="1885950" cy="8667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868401</xdr:colOff>
      <xdr:row>0</xdr:row>
      <xdr:rowOff>67836</xdr:rowOff>
    </xdr:from>
    <xdr:to>
      <xdr:col>8</xdr:col>
      <xdr:colOff>289466</xdr:colOff>
      <xdr:row>5</xdr:row>
      <xdr:rowOff>134511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6F71B9E-3D91-4A2A-B6B0-75307994C8A5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728" t="12643" r="31418" b="21839"/>
        <a:stretch/>
      </xdr:blipFill>
      <xdr:spPr bwMode="auto">
        <a:xfrm>
          <a:off x="13450926" y="67836"/>
          <a:ext cx="3059615" cy="10191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0E8B4-E2A4-4643-AC54-743FAFE885AC}">
  <dimension ref="A5:S74"/>
  <sheetViews>
    <sheetView tabSelected="1" topLeftCell="C47" zoomScale="64" workbookViewId="0">
      <selection activeCell="K19" sqref="K19"/>
    </sheetView>
  </sheetViews>
  <sheetFormatPr defaultColWidth="11.42578125" defaultRowHeight="15"/>
  <cols>
    <col min="1" max="1" width="6.5703125" style="48" customWidth="1"/>
    <col min="2" max="2" width="44.85546875" style="48" customWidth="1"/>
    <col min="3" max="3" width="37.28515625" style="48" customWidth="1"/>
    <col min="4" max="4" width="47" style="50" customWidth="1"/>
    <col min="5" max="5" width="53" style="49" customWidth="1"/>
    <col min="6" max="6" width="26.28515625" style="48" customWidth="1"/>
    <col min="7" max="7" width="11.140625" style="48" customWidth="1"/>
    <col min="8" max="8" width="17.140625" style="48" customWidth="1"/>
    <col min="9" max="9" width="24.28515625" style="48" customWidth="1"/>
    <col min="10" max="10" width="19.85546875" style="48" customWidth="1"/>
    <col min="11" max="11" width="21.85546875" style="50" customWidth="1"/>
    <col min="12" max="13" width="21.85546875" style="48" customWidth="1"/>
    <col min="14" max="16" width="18.28515625" style="48" customWidth="1"/>
    <col min="17" max="17" width="19.5703125" style="48" customWidth="1"/>
    <col min="18" max="18" width="29" style="48" customWidth="1"/>
    <col min="19" max="19" width="24.5703125" style="51" customWidth="1"/>
    <col min="20" max="20" width="44.7109375" style="48" customWidth="1"/>
    <col min="21" max="16384" width="11.42578125" style="48"/>
  </cols>
  <sheetData>
    <row r="5" spans="1:19" ht="17.25" customHeight="1"/>
    <row r="6" spans="1:19" ht="29.25" customHeight="1">
      <c r="A6" s="182" t="s">
        <v>0</v>
      </c>
      <c r="B6" s="182"/>
      <c r="C6" s="182"/>
      <c r="D6" s="182"/>
      <c r="E6" s="182"/>
      <c r="F6" s="182"/>
      <c r="G6" s="182"/>
      <c r="H6" s="182"/>
      <c r="I6" s="182"/>
      <c r="J6" s="182"/>
      <c r="K6" s="182"/>
      <c r="L6" s="182"/>
      <c r="M6" s="182"/>
      <c r="N6" s="182"/>
      <c r="O6" s="182"/>
      <c r="P6" s="182"/>
      <c r="Q6" s="182"/>
      <c r="R6" s="182"/>
    </row>
    <row r="7" spans="1:19" ht="27.75" customHeight="1">
      <c r="A7" s="183" t="s">
        <v>1</v>
      </c>
      <c r="B7" s="183"/>
      <c r="C7" s="183"/>
      <c r="D7" s="183"/>
      <c r="E7" s="183"/>
      <c r="F7" s="183"/>
      <c r="G7" s="183"/>
      <c r="H7" s="183"/>
      <c r="I7" s="183"/>
      <c r="J7" s="183"/>
      <c r="K7" s="183"/>
      <c r="L7" s="183"/>
      <c r="M7" s="183"/>
      <c r="N7" s="183"/>
      <c r="O7" s="183"/>
      <c r="P7" s="183"/>
      <c r="Q7" s="183"/>
      <c r="R7" s="183"/>
    </row>
    <row r="8" spans="1:19" ht="27.75" customHeight="1">
      <c r="A8" s="52"/>
      <c r="B8" s="183" t="s">
        <v>2</v>
      </c>
      <c r="C8" s="183"/>
      <c r="D8" s="183"/>
      <c r="E8" s="183"/>
      <c r="F8" s="183"/>
      <c r="G8" s="183"/>
      <c r="H8" s="183"/>
      <c r="I8" s="183"/>
      <c r="J8" s="183"/>
      <c r="K8" s="183"/>
      <c r="L8" s="183"/>
      <c r="M8" s="183"/>
      <c r="N8" s="183"/>
      <c r="O8" s="183"/>
      <c r="P8" s="183"/>
      <c r="Q8" s="183"/>
      <c r="R8" s="183"/>
    </row>
    <row r="9" spans="1:19" ht="26.25">
      <c r="A9" s="182" t="s">
        <v>3</v>
      </c>
      <c r="B9" s="182"/>
      <c r="C9" s="182"/>
      <c r="D9" s="182"/>
      <c r="E9" s="182"/>
      <c r="F9" s="182"/>
      <c r="G9" s="182"/>
      <c r="H9" s="182"/>
      <c r="I9" s="182"/>
      <c r="J9" s="182"/>
      <c r="K9" s="182"/>
      <c r="L9" s="182"/>
      <c r="M9" s="182"/>
      <c r="N9" s="182"/>
      <c r="O9" s="182"/>
      <c r="P9" s="182"/>
      <c r="Q9" s="182"/>
      <c r="R9" s="182"/>
    </row>
    <row r="10" spans="1:19" ht="30" customHeight="1">
      <c r="A10" s="53"/>
      <c r="B10" s="53"/>
      <c r="C10" s="53"/>
      <c r="D10" s="55"/>
      <c r="E10" s="54"/>
      <c r="F10" s="53"/>
      <c r="G10" s="53"/>
      <c r="H10" s="53"/>
      <c r="I10" s="53"/>
      <c r="J10" s="53"/>
      <c r="K10" s="55"/>
      <c r="L10" s="53"/>
      <c r="M10" s="53"/>
      <c r="N10" s="53"/>
      <c r="O10" s="53"/>
      <c r="P10" s="53"/>
      <c r="Q10" s="53"/>
      <c r="R10" s="53"/>
    </row>
    <row r="11" spans="1:19" ht="28.5" customHeight="1">
      <c r="A11" s="184" t="s">
        <v>4</v>
      </c>
      <c r="B11" s="184"/>
      <c r="C11" s="184"/>
      <c r="D11" s="184"/>
      <c r="E11" s="184"/>
      <c r="F11" s="184"/>
      <c r="G11" s="184"/>
      <c r="H11" s="184"/>
      <c r="I11" s="184"/>
      <c r="J11" s="184"/>
      <c r="K11" s="184"/>
      <c r="L11" s="184"/>
      <c r="M11" s="184"/>
      <c r="N11" s="184"/>
      <c r="O11" s="56"/>
      <c r="P11" s="185" t="s">
        <v>5</v>
      </c>
      <c r="Q11" s="57"/>
      <c r="R11" s="56"/>
    </row>
    <row r="12" spans="1:19" ht="55.5" customHeight="1">
      <c r="A12" s="184" t="s">
        <v>6</v>
      </c>
      <c r="B12" s="184" t="s">
        <v>7</v>
      </c>
      <c r="C12" s="184" t="s">
        <v>8</v>
      </c>
      <c r="D12" s="184"/>
      <c r="E12" s="188" t="s">
        <v>9</v>
      </c>
      <c r="F12" s="184" t="s">
        <v>10</v>
      </c>
      <c r="G12" s="184" t="s">
        <v>11</v>
      </c>
      <c r="H12" s="184" t="s">
        <v>12</v>
      </c>
      <c r="I12" s="184" t="s">
        <v>13</v>
      </c>
      <c r="J12" s="184" t="s">
        <v>14</v>
      </c>
      <c r="K12" s="184" t="s">
        <v>15</v>
      </c>
      <c r="L12" s="184" t="s">
        <v>16</v>
      </c>
      <c r="M12" s="56"/>
      <c r="N12" s="184" t="s">
        <v>17</v>
      </c>
      <c r="O12" s="56" t="s">
        <v>18</v>
      </c>
      <c r="P12" s="185"/>
      <c r="Q12" s="184" t="s">
        <v>19</v>
      </c>
      <c r="R12" s="184" t="s">
        <v>20</v>
      </c>
      <c r="S12" s="184" t="s">
        <v>21</v>
      </c>
    </row>
    <row r="13" spans="1:19" ht="28.5" customHeight="1">
      <c r="A13" s="187"/>
      <c r="B13" s="187"/>
      <c r="C13" s="58" t="s">
        <v>22</v>
      </c>
      <c r="D13" s="58" t="s">
        <v>23</v>
      </c>
      <c r="E13" s="189"/>
      <c r="F13" s="187"/>
      <c r="G13" s="187"/>
      <c r="H13" s="187"/>
      <c r="I13" s="187"/>
      <c r="J13" s="187"/>
      <c r="K13" s="187"/>
      <c r="L13" s="187"/>
      <c r="M13" s="58"/>
      <c r="N13" s="187"/>
      <c r="O13" s="58"/>
      <c r="P13" s="186"/>
      <c r="Q13" s="187"/>
      <c r="R13" s="187"/>
      <c r="S13" s="187"/>
    </row>
    <row r="14" spans="1:19" ht="131.25" customHeight="1">
      <c r="A14" s="2">
        <v>1</v>
      </c>
      <c r="B14" s="130" t="s">
        <v>24</v>
      </c>
      <c r="C14" s="3" t="s">
        <v>25</v>
      </c>
      <c r="D14" s="3" t="s">
        <v>26</v>
      </c>
      <c r="E14" s="137" t="s">
        <v>27</v>
      </c>
      <c r="F14" s="116" t="s">
        <v>28</v>
      </c>
      <c r="G14" s="3" t="s">
        <v>29</v>
      </c>
      <c r="H14" s="3">
        <v>2023</v>
      </c>
      <c r="I14" s="3" t="s">
        <v>30</v>
      </c>
      <c r="J14" s="3" t="s">
        <v>31</v>
      </c>
      <c r="K14" s="147" t="s">
        <v>32</v>
      </c>
      <c r="L14" s="3" t="s">
        <v>33</v>
      </c>
      <c r="M14" s="3" t="s">
        <v>34</v>
      </c>
      <c r="N14" s="3">
        <v>3</v>
      </c>
      <c r="O14" s="20">
        <v>3</v>
      </c>
      <c r="P14" s="3">
        <f>SUM(N14)</f>
        <v>3</v>
      </c>
      <c r="Q14" s="3" t="s">
        <v>35</v>
      </c>
      <c r="R14" s="9">
        <v>19</v>
      </c>
      <c r="S14" s="60" t="s">
        <v>36</v>
      </c>
    </row>
    <row r="15" spans="1:19" ht="35.25" customHeight="1">
      <c r="A15" s="191">
        <v>2</v>
      </c>
      <c r="B15" s="165" t="s">
        <v>37</v>
      </c>
      <c r="C15" s="159" t="s">
        <v>25</v>
      </c>
      <c r="D15" s="159" t="s">
        <v>38</v>
      </c>
      <c r="E15" s="101" t="s">
        <v>39</v>
      </c>
      <c r="F15" s="116" t="s">
        <v>28</v>
      </c>
      <c r="G15" s="3" t="s">
        <v>40</v>
      </c>
      <c r="H15" s="3">
        <v>2019</v>
      </c>
      <c r="I15" s="3" t="s">
        <v>41</v>
      </c>
      <c r="J15" s="3" t="s">
        <v>31</v>
      </c>
      <c r="K15" s="147" t="s">
        <v>42</v>
      </c>
      <c r="L15" s="3" t="s">
        <v>43</v>
      </c>
      <c r="M15" s="3" t="s">
        <v>34</v>
      </c>
      <c r="N15" s="66">
        <v>3</v>
      </c>
      <c r="O15" s="75">
        <v>3</v>
      </c>
      <c r="P15" s="197">
        <f>SUM(O15:O21)</f>
        <v>20</v>
      </c>
      <c r="Q15" s="3" t="s">
        <v>35</v>
      </c>
      <c r="R15" s="9">
        <v>15</v>
      </c>
      <c r="S15" s="61" t="s">
        <v>44</v>
      </c>
    </row>
    <row r="16" spans="1:19" ht="35.25" customHeight="1">
      <c r="A16" s="192"/>
      <c r="B16" s="166"/>
      <c r="C16" s="168"/>
      <c r="D16" s="168"/>
      <c r="E16" s="101" t="s">
        <v>45</v>
      </c>
      <c r="F16" s="116" t="s">
        <v>28</v>
      </c>
      <c r="G16" s="3" t="s">
        <v>46</v>
      </c>
      <c r="H16" s="3">
        <v>2023</v>
      </c>
      <c r="I16" s="3" t="s">
        <v>47</v>
      </c>
      <c r="J16" s="3" t="s">
        <v>31</v>
      </c>
      <c r="K16" s="147" t="s">
        <v>32</v>
      </c>
      <c r="L16" s="3" t="s">
        <v>48</v>
      </c>
      <c r="M16" s="3" t="s">
        <v>34</v>
      </c>
      <c r="N16" s="66">
        <v>3</v>
      </c>
      <c r="O16" s="75">
        <v>3</v>
      </c>
      <c r="P16" s="198"/>
      <c r="Q16" s="3" t="s">
        <v>35</v>
      </c>
      <c r="R16" s="9">
        <v>10</v>
      </c>
      <c r="S16" s="61" t="s">
        <v>44</v>
      </c>
    </row>
    <row r="17" spans="1:19" ht="42" customHeight="1">
      <c r="A17" s="192"/>
      <c r="B17" s="166"/>
      <c r="C17" s="168"/>
      <c r="D17" s="168"/>
      <c r="E17" s="180" t="s">
        <v>49</v>
      </c>
      <c r="F17" s="177" t="s">
        <v>28</v>
      </c>
      <c r="G17" s="159" t="s">
        <v>50</v>
      </c>
      <c r="H17" s="159">
        <v>2023</v>
      </c>
      <c r="I17" s="159" t="s">
        <v>51</v>
      </c>
      <c r="J17" s="159" t="s">
        <v>31</v>
      </c>
      <c r="K17" s="147" t="s">
        <v>52</v>
      </c>
      <c r="L17" s="114" t="s">
        <v>53</v>
      </c>
      <c r="M17" s="3" t="s">
        <v>34</v>
      </c>
      <c r="N17" s="161">
        <v>6</v>
      </c>
      <c r="O17" s="163">
        <v>6</v>
      </c>
      <c r="P17" s="198"/>
      <c r="Q17" s="3" t="s">
        <v>54</v>
      </c>
      <c r="R17" s="195">
        <v>8</v>
      </c>
      <c r="S17" s="193" t="s">
        <v>55</v>
      </c>
    </row>
    <row r="18" spans="1:19" ht="40.5" customHeight="1">
      <c r="A18" s="192"/>
      <c r="B18" s="166"/>
      <c r="C18" s="168"/>
      <c r="D18" s="168"/>
      <c r="E18" s="181"/>
      <c r="F18" s="178"/>
      <c r="G18" s="160"/>
      <c r="H18" s="160"/>
      <c r="I18" s="160"/>
      <c r="J18" s="160"/>
      <c r="K18" s="147" t="s">
        <v>52</v>
      </c>
      <c r="L18" s="114" t="s">
        <v>56</v>
      </c>
      <c r="M18" s="3" t="s">
        <v>57</v>
      </c>
      <c r="N18" s="162"/>
      <c r="O18" s="164"/>
      <c r="P18" s="198"/>
      <c r="Q18" s="3" t="s">
        <v>35</v>
      </c>
      <c r="R18" s="196"/>
      <c r="S18" s="194"/>
    </row>
    <row r="19" spans="1:19" ht="64.5" customHeight="1">
      <c r="A19" s="192"/>
      <c r="B19" s="166"/>
      <c r="C19" s="168"/>
      <c r="D19" s="168"/>
      <c r="E19" s="100" t="s">
        <v>58</v>
      </c>
      <c r="F19" s="116" t="s">
        <v>28</v>
      </c>
      <c r="G19" s="3" t="s">
        <v>50</v>
      </c>
      <c r="H19" s="3">
        <v>2023</v>
      </c>
      <c r="I19" s="3" t="s">
        <v>59</v>
      </c>
      <c r="J19" s="3" t="s">
        <v>31</v>
      </c>
      <c r="K19" s="147" t="s">
        <v>42</v>
      </c>
      <c r="L19" s="3" t="s">
        <v>60</v>
      </c>
      <c r="M19" s="3" t="s">
        <v>34</v>
      </c>
      <c r="N19" s="3">
        <v>2</v>
      </c>
      <c r="O19" s="28">
        <v>2</v>
      </c>
      <c r="P19" s="198"/>
      <c r="Q19" s="3" t="s">
        <v>35</v>
      </c>
      <c r="R19" s="38">
        <v>8</v>
      </c>
      <c r="S19" s="153" t="s">
        <v>55</v>
      </c>
    </row>
    <row r="20" spans="1:19" ht="64.5" customHeight="1">
      <c r="A20" s="132"/>
      <c r="B20" s="133"/>
      <c r="C20" s="134"/>
      <c r="D20" s="134"/>
      <c r="E20" s="180" t="s">
        <v>61</v>
      </c>
      <c r="F20" s="177" t="s">
        <v>28</v>
      </c>
      <c r="G20" s="159" t="s">
        <v>46</v>
      </c>
      <c r="H20" s="159">
        <v>2023</v>
      </c>
      <c r="I20" s="159" t="s">
        <v>62</v>
      </c>
      <c r="J20" s="159" t="s">
        <v>31</v>
      </c>
      <c r="K20" s="147" t="s">
        <v>63</v>
      </c>
      <c r="L20" s="114" t="s">
        <v>53</v>
      </c>
      <c r="M20" s="3" t="s">
        <v>34</v>
      </c>
      <c r="N20" s="161">
        <v>6</v>
      </c>
      <c r="O20" s="163">
        <v>6</v>
      </c>
      <c r="P20" s="198"/>
      <c r="Q20" s="3" t="s">
        <v>54</v>
      </c>
      <c r="R20" s="38">
        <v>10</v>
      </c>
      <c r="S20" s="153"/>
    </row>
    <row r="21" spans="1:19" ht="64.5" customHeight="1">
      <c r="A21" s="132"/>
      <c r="B21" s="133"/>
      <c r="C21" s="134"/>
      <c r="D21" s="134"/>
      <c r="E21" s="181"/>
      <c r="F21" s="178"/>
      <c r="G21" s="160"/>
      <c r="H21" s="160"/>
      <c r="I21" s="160"/>
      <c r="J21" s="160"/>
      <c r="K21" s="147" t="s">
        <v>63</v>
      </c>
      <c r="L21" s="114" t="s">
        <v>64</v>
      </c>
      <c r="M21" s="3" t="s">
        <v>57</v>
      </c>
      <c r="N21" s="162"/>
      <c r="O21" s="164"/>
      <c r="P21" s="199"/>
      <c r="Q21" s="3" t="s">
        <v>35</v>
      </c>
      <c r="R21" s="38">
        <v>10</v>
      </c>
      <c r="S21" s="153" t="s">
        <v>55</v>
      </c>
    </row>
    <row r="22" spans="1:19" ht="37.5" customHeight="1">
      <c r="A22" s="190">
        <v>3</v>
      </c>
      <c r="B22" s="173" t="s">
        <v>65</v>
      </c>
      <c r="C22" s="172" t="s">
        <v>66</v>
      </c>
      <c r="D22" s="172" t="s">
        <v>67</v>
      </c>
      <c r="E22" s="141" t="s">
        <v>68</v>
      </c>
      <c r="F22" s="118" t="s">
        <v>28</v>
      </c>
      <c r="G22" s="20" t="s">
        <v>29</v>
      </c>
      <c r="H22" s="20">
        <v>2023</v>
      </c>
      <c r="I22" s="20" t="s">
        <v>69</v>
      </c>
      <c r="J22" s="20" t="s">
        <v>31</v>
      </c>
      <c r="K22" s="145" t="s">
        <v>52</v>
      </c>
      <c r="L22" s="20" t="s">
        <v>70</v>
      </c>
      <c r="M22" s="3" t="s">
        <v>34</v>
      </c>
      <c r="N22" s="115">
        <v>2</v>
      </c>
      <c r="O22" s="17">
        <v>2</v>
      </c>
      <c r="P22" s="197">
        <f>SUM(O22:O24)</f>
        <v>8</v>
      </c>
      <c r="Q22" s="3" t="s">
        <v>35</v>
      </c>
      <c r="R22" s="9">
        <v>14</v>
      </c>
      <c r="S22" s="153" t="s">
        <v>71</v>
      </c>
    </row>
    <row r="23" spans="1:19" ht="57" customHeight="1">
      <c r="A23" s="190"/>
      <c r="B23" s="173"/>
      <c r="C23" s="172"/>
      <c r="D23" s="172"/>
      <c r="E23" s="100" t="s">
        <v>72</v>
      </c>
      <c r="F23" s="116" t="s">
        <v>28</v>
      </c>
      <c r="G23" s="3" t="s">
        <v>73</v>
      </c>
      <c r="H23" s="3">
        <v>2023</v>
      </c>
      <c r="I23" s="3" t="s">
        <v>74</v>
      </c>
      <c r="J23" s="3" t="s">
        <v>31</v>
      </c>
      <c r="K23" s="147" t="s">
        <v>42</v>
      </c>
      <c r="L23" s="3" t="s">
        <v>75</v>
      </c>
      <c r="M23" s="3" t="s">
        <v>34</v>
      </c>
      <c r="N23" s="20">
        <v>3</v>
      </c>
      <c r="O23" s="20">
        <v>3</v>
      </c>
      <c r="P23" s="198"/>
      <c r="Q23" s="20" t="s">
        <v>35</v>
      </c>
      <c r="R23" s="18">
        <v>19</v>
      </c>
      <c r="S23" s="154" t="s">
        <v>36</v>
      </c>
    </row>
    <row r="24" spans="1:19" ht="79.5" customHeight="1">
      <c r="A24" s="190"/>
      <c r="B24" s="173"/>
      <c r="C24" s="172"/>
      <c r="D24" s="172"/>
      <c r="E24" s="100" t="s">
        <v>76</v>
      </c>
      <c r="F24" s="116" t="s">
        <v>28</v>
      </c>
      <c r="G24" s="3" t="s">
        <v>77</v>
      </c>
      <c r="H24" s="3">
        <v>2019</v>
      </c>
      <c r="I24" s="3" t="s">
        <v>78</v>
      </c>
      <c r="J24" s="3" t="s">
        <v>31</v>
      </c>
      <c r="K24" s="147" t="s">
        <v>32</v>
      </c>
      <c r="L24" s="114" t="s">
        <v>75</v>
      </c>
      <c r="M24" s="3" t="s">
        <v>34</v>
      </c>
      <c r="N24" s="66">
        <v>3</v>
      </c>
      <c r="O24" s="111">
        <v>3</v>
      </c>
      <c r="P24" s="200"/>
      <c r="Q24" s="3" t="s">
        <v>35</v>
      </c>
      <c r="R24" s="9">
        <v>15</v>
      </c>
      <c r="S24" s="154" t="s">
        <v>55</v>
      </c>
    </row>
    <row r="25" spans="1:19" ht="49.5" customHeight="1">
      <c r="A25" s="191">
        <v>4</v>
      </c>
      <c r="B25" s="211" t="s">
        <v>79</v>
      </c>
      <c r="C25" s="159" t="s">
        <v>25</v>
      </c>
      <c r="D25" s="159" t="s">
        <v>80</v>
      </c>
      <c r="E25" s="175" t="s">
        <v>81</v>
      </c>
      <c r="F25" s="177" t="s">
        <v>28</v>
      </c>
      <c r="G25" s="28" t="s">
        <v>29</v>
      </c>
      <c r="H25" s="28">
        <v>2023</v>
      </c>
      <c r="I25" s="3" t="s">
        <v>82</v>
      </c>
      <c r="J25" s="3" t="s">
        <v>31</v>
      </c>
      <c r="K25" s="146" t="s">
        <v>63</v>
      </c>
      <c r="L25" s="28" t="s">
        <v>70</v>
      </c>
      <c r="M25" s="28" t="s">
        <v>34</v>
      </c>
      <c r="N25" s="66">
        <v>2</v>
      </c>
      <c r="O25" s="163">
        <v>4</v>
      </c>
      <c r="P25" s="207">
        <f>SUM(O25:O31)</f>
        <v>19</v>
      </c>
      <c r="Q25" s="172" t="s">
        <v>35</v>
      </c>
      <c r="R25" s="195">
        <v>8</v>
      </c>
      <c r="S25" s="154" t="s">
        <v>83</v>
      </c>
    </row>
    <row r="26" spans="1:19" ht="49.5" customHeight="1">
      <c r="A26" s="192"/>
      <c r="B26" s="212"/>
      <c r="C26" s="168"/>
      <c r="D26" s="168"/>
      <c r="E26" s="176"/>
      <c r="F26" s="178"/>
      <c r="G26" s="28" t="s">
        <v>29</v>
      </c>
      <c r="H26" s="28">
        <v>2023</v>
      </c>
      <c r="I26" s="3" t="s">
        <v>82</v>
      </c>
      <c r="J26" s="3" t="s">
        <v>84</v>
      </c>
      <c r="K26" s="146" t="s">
        <v>42</v>
      </c>
      <c r="L26" s="28" t="s">
        <v>85</v>
      </c>
      <c r="M26" s="28" t="s">
        <v>34</v>
      </c>
      <c r="N26" s="66">
        <v>2</v>
      </c>
      <c r="O26" s="210"/>
      <c r="P26" s="208"/>
      <c r="Q26" s="172"/>
      <c r="R26" s="219"/>
      <c r="S26" s="154"/>
    </row>
    <row r="27" spans="1:19" ht="49.5" customHeight="1">
      <c r="A27" s="192"/>
      <c r="B27" s="212"/>
      <c r="C27" s="168"/>
      <c r="D27" s="168"/>
      <c r="E27" s="101" t="s">
        <v>86</v>
      </c>
      <c r="F27" s="116" t="s">
        <v>28</v>
      </c>
      <c r="G27" s="3" t="s">
        <v>87</v>
      </c>
      <c r="H27" s="3">
        <v>2019</v>
      </c>
      <c r="I27" s="3" t="s">
        <v>88</v>
      </c>
      <c r="J27" s="3" t="s">
        <v>31</v>
      </c>
      <c r="K27" s="147" t="s">
        <v>32</v>
      </c>
      <c r="L27" s="3" t="s">
        <v>43</v>
      </c>
      <c r="M27" s="3" t="s">
        <v>34</v>
      </c>
      <c r="N27" s="3">
        <v>3</v>
      </c>
      <c r="O27" s="3">
        <v>3</v>
      </c>
      <c r="P27" s="208"/>
      <c r="Q27" s="3" t="s">
        <v>35</v>
      </c>
      <c r="R27" s="136"/>
      <c r="S27" s="154"/>
    </row>
    <row r="28" spans="1:19" ht="49.5" customHeight="1">
      <c r="A28" s="192"/>
      <c r="B28" s="212"/>
      <c r="C28" s="168"/>
      <c r="D28" s="168"/>
      <c r="E28" s="100" t="s">
        <v>89</v>
      </c>
      <c r="F28" s="117" t="s">
        <v>28</v>
      </c>
      <c r="G28" s="28" t="s">
        <v>40</v>
      </c>
      <c r="H28" s="3">
        <v>2019</v>
      </c>
      <c r="I28" s="28" t="s">
        <v>90</v>
      </c>
      <c r="J28" s="28" t="s">
        <v>31</v>
      </c>
      <c r="K28" s="147" t="s">
        <v>91</v>
      </c>
      <c r="L28" s="114" t="s">
        <v>75</v>
      </c>
      <c r="M28" s="3" t="s">
        <v>34</v>
      </c>
      <c r="N28" s="113">
        <v>3</v>
      </c>
      <c r="O28" s="3">
        <v>3</v>
      </c>
      <c r="P28" s="208"/>
      <c r="Q28" s="3" t="s">
        <v>35</v>
      </c>
      <c r="R28" s="38">
        <v>15</v>
      </c>
      <c r="S28" s="154" t="s">
        <v>55</v>
      </c>
    </row>
    <row r="29" spans="1:19" ht="49.5" customHeight="1">
      <c r="A29" s="192"/>
      <c r="B29" s="212"/>
      <c r="C29" s="168"/>
      <c r="D29" s="168"/>
      <c r="E29" s="100" t="s">
        <v>92</v>
      </c>
      <c r="F29" s="117" t="s">
        <v>28</v>
      </c>
      <c r="G29" s="28" t="s">
        <v>29</v>
      </c>
      <c r="H29" s="3">
        <v>2023</v>
      </c>
      <c r="I29" s="3" t="s">
        <v>93</v>
      </c>
      <c r="J29" s="28" t="s">
        <v>31</v>
      </c>
      <c r="K29" s="147" t="s">
        <v>52</v>
      </c>
      <c r="L29" s="114" t="s">
        <v>75</v>
      </c>
      <c r="M29" s="3" t="s">
        <v>34</v>
      </c>
      <c r="N29" s="113">
        <v>3</v>
      </c>
      <c r="O29" s="3">
        <v>3</v>
      </c>
      <c r="P29" s="209"/>
      <c r="Q29" s="35" t="s">
        <v>35</v>
      </c>
      <c r="R29" s="38"/>
      <c r="S29" s="154" t="s">
        <v>83</v>
      </c>
    </row>
    <row r="30" spans="1:19" ht="74.25" customHeight="1">
      <c r="A30" s="192"/>
      <c r="B30" s="212"/>
      <c r="C30" s="168"/>
      <c r="D30" s="168"/>
      <c r="E30" s="100" t="s">
        <v>94</v>
      </c>
      <c r="F30" s="117" t="s">
        <v>28</v>
      </c>
      <c r="G30" s="3" t="s">
        <v>46</v>
      </c>
      <c r="H30" s="3">
        <v>2023</v>
      </c>
      <c r="I30" s="3" t="s">
        <v>95</v>
      </c>
      <c r="J30" s="3" t="s">
        <v>31</v>
      </c>
      <c r="K30" s="147" t="s">
        <v>91</v>
      </c>
      <c r="L30" s="114" t="s">
        <v>96</v>
      </c>
      <c r="M30" s="3" t="s">
        <v>34</v>
      </c>
      <c r="N30" s="66">
        <v>3</v>
      </c>
      <c r="O30" s="3">
        <v>3</v>
      </c>
      <c r="P30" s="209"/>
      <c r="Q30" s="36" t="s">
        <v>35</v>
      </c>
      <c r="R30" s="9">
        <v>10</v>
      </c>
      <c r="S30" s="107" t="s">
        <v>44</v>
      </c>
    </row>
    <row r="31" spans="1:19" ht="95.25" customHeight="1">
      <c r="A31" s="192"/>
      <c r="B31" s="212"/>
      <c r="C31" s="168"/>
      <c r="D31" s="168"/>
      <c r="E31" s="100" t="s">
        <v>97</v>
      </c>
      <c r="F31" s="117" t="s">
        <v>28</v>
      </c>
      <c r="G31" s="3" t="s">
        <v>87</v>
      </c>
      <c r="H31" s="3">
        <v>2019</v>
      </c>
      <c r="I31" s="3" t="s">
        <v>98</v>
      </c>
      <c r="J31" s="3" t="s">
        <v>31</v>
      </c>
      <c r="K31" s="147" t="s">
        <v>42</v>
      </c>
      <c r="L31" s="114" t="s">
        <v>43</v>
      </c>
      <c r="M31" s="3" t="s">
        <v>34</v>
      </c>
      <c r="N31" s="3">
        <v>3</v>
      </c>
      <c r="O31" s="3">
        <v>3</v>
      </c>
      <c r="P31" s="209"/>
      <c r="Q31" s="36" t="s">
        <v>35</v>
      </c>
      <c r="R31" s="9">
        <v>14</v>
      </c>
      <c r="S31" s="107" t="s">
        <v>55</v>
      </c>
    </row>
    <row r="32" spans="1:19" ht="34.5" customHeight="1">
      <c r="A32" s="190"/>
      <c r="B32" s="173" t="s">
        <v>99</v>
      </c>
      <c r="C32" s="174" t="s">
        <v>66</v>
      </c>
      <c r="D32" s="163" t="s">
        <v>100</v>
      </c>
      <c r="E32" s="202" t="s">
        <v>101</v>
      </c>
      <c r="F32" s="177" t="s">
        <v>28</v>
      </c>
      <c r="G32" s="204" t="s">
        <v>40</v>
      </c>
      <c r="H32" s="159">
        <v>2019</v>
      </c>
      <c r="I32" s="206" t="s">
        <v>102</v>
      </c>
      <c r="J32" s="250" t="s">
        <v>31</v>
      </c>
      <c r="K32" s="148" t="s">
        <v>32</v>
      </c>
      <c r="L32" s="109" t="s">
        <v>70</v>
      </c>
      <c r="M32" s="159" t="s">
        <v>57</v>
      </c>
      <c r="N32" s="109">
        <v>2</v>
      </c>
      <c r="O32" s="220">
        <v>5</v>
      </c>
      <c r="P32" s="213">
        <f>SUM(O32:O38)</f>
        <v>18</v>
      </c>
      <c r="Q32" s="36" t="s">
        <v>35</v>
      </c>
      <c r="R32" s="217">
        <v>15</v>
      </c>
      <c r="S32" s="107" t="s">
        <v>103</v>
      </c>
    </row>
    <row r="33" spans="1:19" ht="30" customHeight="1">
      <c r="A33" s="190"/>
      <c r="B33" s="173"/>
      <c r="C33" s="174"/>
      <c r="D33" s="201"/>
      <c r="E33" s="203"/>
      <c r="F33" s="178"/>
      <c r="G33" s="205"/>
      <c r="H33" s="160"/>
      <c r="I33" s="206"/>
      <c r="J33" s="250"/>
      <c r="K33" s="148" t="s">
        <v>42</v>
      </c>
      <c r="L33" s="109" t="s">
        <v>75</v>
      </c>
      <c r="M33" s="160"/>
      <c r="N33" s="109">
        <v>3</v>
      </c>
      <c r="O33" s="221"/>
      <c r="P33" s="214"/>
      <c r="Q33" s="36" t="s">
        <v>35</v>
      </c>
      <c r="R33" s="218"/>
      <c r="S33" s="107" t="s">
        <v>44</v>
      </c>
    </row>
    <row r="34" spans="1:19" ht="30" customHeight="1">
      <c r="A34" s="190"/>
      <c r="B34" s="173"/>
      <c r="C34" s="174"/>
      <c r="D34" s="201"/>
      <c r="E34" s="246" t="s">
        <v>104</v>
      </c>
      <c r="F34" s="177" t="s">
        <v>28</v>
      </c>
      <c r="G34" s="159" t="s">
        <v>87</v>
      </c>
      <c r="H34" s="159">
        <v>2019</v>
      </c>
      <c r="I34" s="159" t="s">
        <v>105</v>
      </c>
      <c r="J34" s="159" t="s">
        <v>31</v>
      </c>
      <c r="K34" s="148" t="s">
        <v>42</v>
      </c>
      <c r="L34" s="109" t="s">
        <v>106</v>
      </c>
      <c r="M34" s="28" t="s">
        <v>57</v>
      </c>
      <c r="N34" s="119">
        <v>2</v>
      </c>
      <c r="O34" s="163">
        <v>5</v>
      </c>
      <c r="P34" s="214"/>
      <c r="Q34" s="36" t="s">
        <v>35</v>
      </c>
      <c r="R34" s="120"/>
      <c r="S34" s="122" t="s">
        <v>44</v>
      </c>
    </row>
    <row r="35" spans="1:19" ht="90.75" customHeight="1">
      <c r="A35" s="190"/>
      <c r="B35" s="173"/>
      <c r="C35" s="174"/>
      <c r="D35" s="201"/>
      <c r="E35" s="247"/>
      <c r="F35" s="178"/>
      <c r="G35" s="160"/>
      <c r="H35" s="160"/>
      <c r="I35" s="160"/>
      <c r="J35" s="160"/>
      <c r="K35" s="147" t="s">
        <v>107</v>
      </c>
      <c r="L35" s="109" t="s">
        <v>64</v>
      </c>
      <c r="M35" s="3" t="s">
        <v>57</v>
      </c>
      <c r="N35" s="112">
        <v>3</v>
      </c>
      <c r="O35" s="164"/>
      <c r="P35" s="214"/>
      <c r="Q35" s="36" t="s">
        <v>35</v>
      </c>
      <c r="R35" s="18">
        <v>14</v>
      </c>
      <c r="S35" s="60" t="s">
        <v>55</v>
      </c>
    </row>
    <row r="36" spans="1:19" ht="42" customHeight="1">
      <c r="A36" s="190"/>
      <c r="B36" s="173"/>
      <c r="C36" s="174"/>
      <c r="D36" s="201"/>
      <c r="E36" s="105" t="s">
        <v>108</v>
      </c>
      <c r="F36" s="118" t="s">
        <v>28</v>
      </c>
      <c r="G36" s="20" t="s">
        <v>50</v>
      </c>
      <c r="H36" s="20">
        <v>2023</v>
      </c>
      <c r="I36" s="20" t="s">
        <v>109</v>
      </c>
      <c r="J36" s="20" t="s">
        <v>31</v>
      </c>
      <c r="K36" s="147" t="s">
        <v>32</v>
      </c>
      <c r="L36" s="3" t="s">
        <v>96</v>
      </c>
      <c r="M36" s="20" t="s">
        <v>57</v>
      </c>
      <c r="N36" s="112">
        <v>3</v>
      </c>
      <c r="O36" s="75">
        <v>3</v>
      </c>
      <c r="P36" s="215"/>
      <c r="Q36" s="150" t="s">
        <v>35</v>
      </c>
      <c r="R36" s="144">
        <v>10</v>
      </c>
      <c r="S36" s="60" t="s">
        <v>110</v>
      </c>
    </row>
    <row r="37" spans="1:19" ht="42" customHeight="1">
      <c r="A37" s="190"/>
      <c r="B37" s="173"/>
      <c r="C37" s="174"/>
      <c r="D37" s="201"/>
      <c r="E37" s="138" t="s">
        <v>68</v>
      </c>
      <c r="F37" s="118" t="s">
        <v>28</v>
      </c>
      <c r="G37" s="20" t="s">
        <v>29</v>
      </c>
      <c r="H37" s="20">
        <v>2023</v>
      </c>
      <c r="I37" s="20" t="s">
        <v>69</v>
      </c>
      <c r="J37" s="20" t="s">
        <v>84</v>
      </c>
      <c r="K37" s="145" t="s">
        <v>63</v>
      </c>
      <c r="L37" s="20" t="s">
        <v>60</v>
      </c>
      <c r="M37" s="3" t="s">
        <v>34</v>
      </c>
      <c r="N37" s="140">
        <v>2</v>
      </c>
      <c r="O37" s="28">
        <v>2</v>
      </c>
      <c r="P37" s="215"/>
      <c r="Q37" s="149" t="s">
        <v>35</v>
      </c>
      <c r="R37" s="64"/>
      <c r="S37" s="60"/>
    </row>
    <row r="38" spans="1:19" ht="60" customHeight="1">
      <c r="A38" s="190"/>
      <c r="B38" s="173"/>
      <c r="C38" s="174"/>
      <c r="D38" s="164"/>
      <c r="E38" s="155" t="s">
        <v>111</v>
      </c>
      <c r="F38" s="156" t="s">
        <v>28</v>
      </c>
      <c r="G38" s="157" t="s">
        <v>112</v>
      </c>
      <c r="H38" s="157">
        <v>2019</v>
      </c>
      <c r="I38" s="157" t="s">
        <v>113</v>
      </c>
      <c r="J38" s="3" t="s">
        <v>31</v>
      </c>
      <c r="K38" s="147" t="s">
        <v>52</v>
      </c>
      <c r="L38" s="3" t="s">
        <v>75</v>
      </c>
      <c r="M38" s="3" t="s">
        <v>34</v>
      </c>
      <c r="N38" s="66">
        <v>3</v>
      </c>
      <c r="O38" s="75">
        <v>3</v>
      </c>
      <c r="P38" s="216"/>
      <c r="Q38" s="36" t="s">
        <v>35</v>
      </c>
      <c r="R38" s="18">
        <v>15</v>
      </c>
      <c r="S38" s="60" t="s">
        <v>44</v>
      </c>
    </row>
    <row r="39" spans="1:19" ht="42" customHeight="1">
      <c r="A39" s="190"/>
      <c r="B39" s="165" t="s">
        <v>114</v>
      </c>
      <c r="C39" s="159" t="s">
        <v>25</v>
      </c>
      <c r="D39" s="169" t="s">
        <v>115</v>
      </c>
      <c r="E39" s="101" t="s">
        <v>116</v>
      </c>
      <c r="F39" s="116" t="s">
        <v>28</v>
      </c>
      <c r="G39" s="3" t="s">
        <v>87</v>
      </c>
      <c r="H39" s="3">
        <v>2019</v>
      </c>
      <c r="I39" s="3" t="s">
        <v>117</v>
      </c>
      <c r="J39" s="3" t="s">
        <v>31</v>
      </c>
      <c r="K39" s="147" t="s">
        <v>52</v>
      </c>
      <c r="L39" s="3" t="s">
        <v>96</v>
      </c>
      <c r="M39" s="3" t="s">
        <v>34</v>
      </c>
      <c r="N39" s="3">
        <v>3</v>
      </c>
      <c r="O39" s="20">
        <v>3</v>
      </c>
      <c r="P39" s="198">
        <f>SUM(O39:O42)</f>
        <v>12</v>
      </c>
      <c r="Q39" s="3" t="s">
        <v>35</v>
      </c>
      <c r="R39" s="18">
        <v>14</v>
      </c>
      <c r="S39" s="78" t="s">
        <v>44</v>
      </c>
    </row>
    <row r="40" spans="1:19" ht="78" customHeight="1">
      <c r="A40" s="190"/>
      <c r="B40" s="166"/>
      <c r="C40" s="168"/>
      <c r="D40" s="170"/>
      <c r="E40" s="100" t="s">
        <v>118</v>
      </c>
      <c r="F40" s="121" t="s">
        <v>28</v>
      </c>
      <c r="G40" s="21" t="s">
        <v>87</v>
      </c>
      <c r="H40" s="3">
        <v>2019</v>
      </c>
      <c r="I40" s="3" t="s">
        <v>119</v>
      </c>
      <c r="J40" s="3" t="s">
        <v>31</v>
      </c>
      <c r="K40" s="147" t="s">
        <v>42</v>
      </c>
      <c r="L40" s="3" t="s">
        <v>120</v>
      </c>
      <c r="M40" s="3" t="s">
        <v>34</v>
      </c>
      <c r="N40" s="66">
        <v>3</v>
      </c>
      <c r="O40" s="111">
        <v>3</v>
      </c>
      <c r="P40" s="198"/>
      <c r="Q40" s="3" t="s">
        <v>35</v>
      </c>
      <c r="R40" s="9">
        <v>14</v>
      </c>
      <c r="S40" s="78" t="s">
        <v>71</v>
      </c>
    </row>
    <row r="41" spans="1:19" ht="78" customHeight="1">
      <c r="A41" s="190"/>
      <c r="B41" s="166"/>
      <c r="C41" s="168"/>
      <c r="D41" s="170"/>
      <c r="E41" s="100" t="s">
        <v>121</v>
      </c>
      <c r="F41" s="116" t="s">
        <v>28</v>
      </c>
      <c r="G41" s="3" t="s">
        <v>87</v>
      </c>
      <c r="H41" s="3">
        <v>2019</v>
      </c>
      <c r="I41" s="3" t="s">
        <v>122</v>
      </c>
      <c r="J41" s="3" t="s">
        <v>31</v>
      </c>
      <c r="K41" s="147" t="s">
        <v>32</v>
      </c>
      <c r="L41" s="3" t="s">
        <v>75</v>
      </c>
      <c r="M41" s="3" t="s">
        <v>34</v>
      </c>
      <c r="N41" s="3">
        <v>3</v>
      </c>
      <c r="O41" s="28">
        <v>3</v>
      </c>
      <c r="P41" s="198"/>
      <c r="Q41" s="3" t="s">
        <v>35</v>
      </c>
      <c r="R41" s="9"/>
      <c r="S41" s="78"/>
    </row>
    <row r="42" spans="1:19" ht="42" customHeight="1">
      <c r="A42" s="190"/>
      <c r="B42" s="167"/>
      <c r="C42" s="160"/>
      <c r="D42" s="171"/>
      <c r="E42" s="101" t="s">
        <v>123</v>
      </c>
      <c r="F42" s="116" t="s">
        <v>28</v>
      </c>
      <c r="G42" s="3" t="s">
        <v>77</v>
      </c>
      <c r="H42" s="3">
        <v>2019</v>
      </c>
      <c r="I42" s="3" t="s">
        <v>124</v>
      </c>
      <c r="J42" s="3" t="s">
        <v>31</v>
      </c>
      <c r="K42" s="147" t="s">
        <v>52</v>
      </c>
      <c r="L42" s="3" t="s">
        <v>75</v>
      </c>
      <c r="M42" s="3" t="s">
        <v>34</v>
      </c>
      <c r="N42" s="3">
        <v>3</v>
      </c>
      <c r="O42" s="28">
        <v>3</v>
      </c>
      <c r="P42" s="160"/>
      <c r="Q42" s="3" t="s">
        <v>35</v>
      </c>
      <c r="R42" s="9">
        <v>15</v>
      </c>
      <c r="S42" s="78" t="s">
        <v>103</v>
      </c>
    </row>
    <row r="43" spans="1:19" ht="51" customHeight="1">
      <c r="A43" s="190">
        <v>7</v>
      </c>
      <c r="B43" s="173" t="s">
        <v>125</v>
      </c>
      <c r="C43" s="172" t="s">
        <v>25</v>
      </c>
      <c r="D43" s="172" t="s">
        <v>126</v>
      </c>
      <c r="E43" s="101" t="s">
        <v>127</v>
      </c>
      <c r="F43" s="116" t="s">
        <v>28</v>
      </c>
      <c r="G43" s="3" t="s">
        <v>77</v>
      </c>
      <c r="H43" s="3">
        <v>2019</v>
      </c>
      <c r="I43" s="3" t="s">
        <v>128</v>
      </c>
      <c r="J43" s="3" t="s">
        <v>31</v>
      </c>
      <c r="K43" s="147" t="s">
        <v>42</v>
      </c>
      <c r="L43" s="3" t="s">
        <v>60</v>
      </c>
      <c r="M43" s="3" t="s">
        <v>34</v>
      </c>
      <c r="N43" s="17">
        <v>2</v>
      </c>
      <c r="O43" s="17">
        <v>2</v>
      </c>
      <c r="P43" s="197">
        <f>SUM(O43:O45)</f>
        <v>7</v>
      </c>
      <c r="Q43" s="3" t="s">
        <v>129</v>
      </c>
      <c r="R43" s="9">
        <v>15</v>
      </c>
      <c r="S43" s="82" t="s">
        <v>130</v>
      </c>
    </row>
    <row r="44" spans="1:19" ht="45" customHeight="1">
      <c r="A44" s="190"/>
      <c r="B44" s="173"/>
      <c r="C44" s="172"/>
      <c r="D44" s="172"/>
      <c r="E44" s="137" t="s">
        <v>27</v>
      </c>
      <c r="F44" s="116" t="s">
        <v>28</v>
      </c>
      <c r="G44" s="3" t="s">
        <v>29</v>
      </c>
      <c r="H44" s="3">
        <v>2023</v>
      </c>
      <c r="I44" s="3" t="s">
        <v>30</v>
      </c>
      <c r="J44" s="3" t="s">
        <v>84</v>
      </c>
      <c r="K44" s="147" t="s">
        <v>32</v>
      </c>
      <c r="L44" s="3" t="s">
        <v>96</v>
      </c>
      <c r="M44" s="3" t="s">
        <v>34</v>
      </c>
      <c r="N44" s="3">
        <v>3</v>
      </c>
      <c r="O44" s="20">
        <v>3</v>
      </c>
      <c r="P44" s="198"/>
      <c r="Q44" s="3" t="s">
        <v>35</v>
      </c>
      <c r="R44" s="135">
        <v>8</v>
      </c>
      <c r="S44" s="82" t="s">
        <v>103</v>
      </c>
    </row>
    <row r="45" spans="1:19" ht="38.25" customHeight="1">
      <c r="A45" s="190"/>
      <c r="B45" s="173"/>
      <c r="C45" s="172"/>
      <c r="D45" s="172"/>
      <c r="E45" s="101" t="s">
        <v>131</v>
      </c>
      <c r="F45" s="116" t="s">
        <v>28</v>
      </c>
      <c r="G45" s="3" t="s">
        <v>46</v>
      </c>
      <c r="H45" s="3">
        <v>2023</v>
      </c>
      <c r="I45" s="3" t="s">
        <v>132</v>
      </c>
      <c r="J45" s="3" t="s">
        <v>31</v>
      </c>
      <c r="K45" s="147" t="s">
        <v>52</v>
      </c>
      <c r="L45" s="3" t="s">
        <v>70</v>
      </c>
      <c r="M45" s="3" t="s">
        <v>34</v>
      </c>
      <c r="N45" s="3">
        <v>2</v>
      </c>
      <c r="O45" s="3">
        <v>2</v>
      </c>
      <c r="P45" s="199"/>
      <c r="Q45" s="3" t="s">
        <v>35</v>
      </c>
      <c r="R45" s="9">
        <v>10</v>
      </c>
      <c r="S45" s="83" t="s">
        <v>55</v>
      </c>
    </row>
    <row r="46" spans="1:19" ht="33" customHeight="1">
      <c r="A46" s="248"/>
      <c r="B46" s="249"/>
      <c r="C46" s="249"/>
      <c r="D46" s="249"/>
      <c r="E46" s="249"/>
      <c r="F46" s="249"/>
      <c r="G46" s="249"/>
      <c r="H46" s="249"/>
      <c r="I46" s="249"/>
      <c r="J46" s="249"/>
      <c r="K46" s="249"/>
      <c r="L46" s="249"/>
      <c r="M46" s="249"/>
      <c r="N46" s="249"/>
      <c r="O46" s="249"/>
      <c r="P46" s="249"/>
      <c r="Q46" s="249"/>
      <c r="R46" s="249"/>
      <c r="S46" s="84"/>
    </row>
    <row r="47" spans="1:19" ht="103.5" customHeight="1">
      <c r="A47" s="2">
        <v>1</v>
      </c>
      <c r="B47" s="130" t="s">
        <v>133</v>
      </c>
      <c r="C47" s="3" t="s">
        <v>25</v>
      </c>
      <c r="D47" s="3" t="s">
        <v>134</v>
      </c>
      <c r="E47" s="100" t="s">
        <v>135</v>
      </c>
      <c r="F47" s="116" t="s">
        <v>28</v>
      </c>
      <c r="G47" s="3" t="s">
        <v>40</v>
      </c>
      <c r="H47" s="3">
        <v>2019</v>
      </c>
      <c r="I47" s="3" t="s">
        <v>136</v>
      </c>
      <c r="J47" s="3" t="s">
        <v>31</v>
      </c>
      <c r="K47" s="147" t="s">
        <v>32</v>
      </c>
      <c r="L47" s="3" t="s">
        <v>96</v>
      </c>
      <c r="M47" s="3" t="s">
        <v>34</v>
      </c>
      <c r="N47" s="3">
        <v>3</v>
      </c>
      <c r="O47" s="3">
        <v>3</v>
      </c>
      <c r="P47" s="3">
        <v>3</v>
      </c>
      <c r="Q47" s="3" t="s">
        <v>35</v>
      </c>
      <c r="R47" s="9">
        <v>15</v>
      </c>
      <c r="S47" s="13" t="s">
        <v>55</v>
      </c>
    </row>
    <row r="48" spans="1:19" s="50" customFormat="1" ht="89.25" customHeight="1">
      <c r="A48" s="142">
        <v>2</v>
      </c>
      <c r="B48" s="129" t="s">
        <v>137</v>
      </c>
      <c r="C48" s="20" t="s">
        <v>25</v>
      </c>
      <c r="D48" s="124" t="s">
        <v>138</v>
      </c>
      <c r="E48" s="101" t="s">
        <v>139</v>
      </c>
      <c r="F48" s="116" t="s">
        <v>28</v>
      </c>
      <c r="G48" s="3" t="s">
        <v>77</v>
      </c>
      <c r="H48" s="3">
        <v>2019</v>
      </c>
      <c r="I48" s="3" t="s">
        <v>140</v>
      </c>
      <c r="J48" s="3" t="s">
        <v>31</v>
      </c>
      <c r="K48" s="147" t="s">
        <v>141</v>
      </c>
      <c r="L48" s="3" t="s">
        <v>142</v>
      </c>
      <c r="M48" s="3" t="s">
        <v>34</v>
      </c>
      <c r="N48" s="66">
        <v>2</v>
      </c>
      <c r="O48" s="111">
        <v>2</v>
      </c>
      <c r="P48" s="35">
        <v>2</v>
      </c>
      <c r="Q48" s="36" t="s">
        <v>35</v>
      </c>
      <c r="R48" s="9">
        <v>15</v>
      </c>
      <c r="S48" s="10" t="s">
        <v>143</v>
      </c>
    </row>
    <row r="49" spans="1:19" s="50" customFormat="1" ht="89.25" customHeight="1">
      <c r="A49" s="142">
        <v>3</v>
      </c>
      <c r="B49" s="129" t="s">
        <v>144</v>
      </c>
      <c r="C49" s="20" t="s">
        <v>25</v>
      </c>
      <c r="D49" s="124" t="s">
        <v>145</v>
      </c>
      <c r="E49" s="139" t="s">
        <v>146</v>
      </c>
      <c r="F49" s="125" t="s">
        <v>147</v>
      </c>
      <c r="G49" s="123" t="s">
        <v>77</v>
      </c>
      <c r="H49" s="20">
        <v>2019</v>
      </c>
      <c r="I49" s="123" t="s">
        <v>148</v>
      </c>
      <c r="J49" s="20" t="s">
        <v>31</v>
      </c>
      <c r="K49" s="145" t="s">
        <v>149</v>
      </c>
      <c r="L49" s="20" t="s">
        <v>150</v>
      </c>
      <c r="M49" s="20" t="s">
        <v>34</v>
      </c>
      <c r="N49" s="123">
        <v>3</v>
      </c>
      <c r="O49" s="123">
        <v>3</v>
      </c>
      <c r="P49" s="20">
        <v>3</v>
      </c>
      <c r="Q49" s="20" t="s">
        <v>147</v>
      </c>
      <c r="R49" s="9">
        <v>15</v>
      </c>
      <c r="S49" s="10" t="s">
        <v>147</v>
      </c>
    </row>
    <row r="50" spans="1:19" s="50" customFormat="1" ht="72.75" customHeight="1">
      <c r="A50" s="191">
        <v>4</v>
      </c>
      <c r="B50" s="165" t="s">
        <v>151</v>
      </c>
      <c r="C50" s="159" t="s">
        <v>152</v>
      </c>
      <c r="D50" s="159" t="s">
        <v>153</v>
      </c>
      <c r="E50" s="105" t="s">
        <v>154</v>
      </c>
      <c r="F50" s="118" t="s">
        <v>28</v>
      </c>
      <c r="G50" s="20" t="s">
        <v>77</v>
      </c>
      <c r="H50" s="143">
        <v>2019</v>
      </c>
      <c r="I50" s="143" t="s">
        <v>155</v>
      </c>
      <c r="J50" s="143" t="s">
        <v>31</v>
      </c>
      <c r="K50" s="145" t="s">
        <v>32</v>
      </c>
      <c r="L50" s="151" t="s">
        <v>142</v>
      </c>
      <c r="M50" s="151" t="s">
        <v>34</v>
      </c>
      <c r="N50" s="151">
        <v>2</v>
      </c>
      <c r="O50" s="151">
        <v>2</v>
      </c>
      <c r="P50" s="158">
        <v>6</v>
      </c>
      <c r="Q50" s="158" t="s">
        <v>35</v>
      </c>
      <c r="R50" s="240">
        <v>11</v>
      </c>
      <c r="S50" s="243" t="s">
        <v>110</v>
      </c>
    </row>
    <row r="51" spans="1:19" s="50" customFormat="1" ht="43.5" customHeight="1">
      <c r="A51" s="192"/>
      <c r="B51" s="166"/>
      <c r="C51" s="168"/>
      <c r="D51" s="168"/>
      <c r="E51" s="179" t="s">
        <v>156</v>
      </c>
      <c r="F51" s="177" t="s">
        <v>28</v>
      </c>
      <c r="G51" s="159" t="s">
        <v>29</v>
      </c>
      <c r="H51" s="158">
        <v>2023</v>
      </c>
      <c r="I51" s="158" t="s">
        <v>157</v>
      </c>
      <c r="J51" s="131" t="s">
        <v>31</v>
      </c>
      <c r="K51" s="147" t="s">
        <v>158</v>
      </c>
      <c r="L51" s="151" t="s">
        <v>142</v>
      </c>
      <c r="M51" s="151" t="s">
        <v>34</v>
      </c>
      <c r="N51" s="151">
        <v>2</v>
      </c>
      <c r="O51" s="151">
        <v>2</v>
      </c>
      <c r="P51" s="158"/>
      <c r="Q51" s="158"/>
      <c r="R51" s="241"/>
      <c r="S51" s="244"/>
    </row>
    <row r="52" spans="1:19" s="50" customFormat="1" ht="27" customHeight="1">
      <c r="A52" s="239"/>
      <c r="B52" s="167"/>
      <c r="C52" s="160"/>
      <c r="D52" s="160"/>
      <c r="E52" s="179"/>
      <c r="F52" s="178"/>
      <c r="G52" s="160"/>
      <c r="H52" s="158"/>
      <c r="I52" s="158"/>
      <c r="J52" s="131" t="s">
        <v>84</v>
      </c>
      <c r="K52" s="147" t="s">
        <v>52</v>
      </c>
      <c r="L52" s="151" t="s">
        <v>142</v>
      </c>
      <c r="M52" s="151" t="s">
        <v>34</v>
      </c>
      <c r="N52" s="151">
        <v>2</v>
      </c>
      <c r="O52" s="151">
        <v>2</v>
      </c>
      <c r="P52" s="158"/>
      <c r="Q52" s="158"/>
      <c r="R52" s="242"/>
      <c r="S52" s="245"/>
    </row>
    <row r="53" spans="1:19" s="50" customFormat="1" ht="60.75" customHeight="1">
      <c r="A53" s="190">
        <v>5</v>
      </c>
      <c r="B53" s="226" t="s">
        <v>159</v>
      </c>
      <c r="C53" s="210" t="s">
        <v>25</v>
      </c>
      <c r="D53" s="199" t="s">
        <v>160</v>
      </c>
      <c r="E53" s="101" t="s">
        <v>161</v>
      </c>
      <c r="F53" s="116" t="s">
        <v>28</v>
      </c>
      <c r="G53" s="3" t="s">
        <v>46</v>
      </c>
      <c r="H53" s="3">
        <v>2023</v>
      </c>
      <c r="I53" s="3" t="s">
        <v>162</v>
      </c>
      <c r="J53" s="3" t="s">
        <v>31</v>
      </c>
      <c r="K53" s="147" t="s">
        <v>141</v>
      </c>
      <c r="L53" s="3" t="s">
        <v>163</v>
      </c>
      <c r="M53" s="3" t="s">
        <v>34</v>
      </c>
      <c r="N53" s="152">
        <v>2</v>
      </c>
      <c r="O53" s="152">
        <v>2</v>
      </c>
      <c r="P53" s="172">
        <v>5</v>
      </c>
      <c r="Q53" s="3" t="s">
        <v>35</v>
      </c>
      <c r="R53" s="9">
        <v>10</v>
      </c>
      <c r="S53" s="70" t="s">
        <v>55</v>
      </c>
    </row>
    <row r="54" spans="1:19" s="50" customFormat="1" ht="45.75" customHeight="1">
      <c r="A54" s="190"/>
      <c r="B54" s="227"/>
      <c r="C54" s="228"/>
      <c r="D54" s="229"/>
      <c r="E54" s="101" t="s">
        <v>164</v>
      </c>
      <c r="F54" s="116" t="s">
        <v>28</v>
      </c>
      <c r="G54" s="3" t="s">
        <v>112</v>
      </c>
      <c r="H54" s="3">
        <v>2019</v>
      </c>
      <c r="I54" s="3" t="s">
        <v>165</v>
      </c>
      <c r="J54" s="3" t="s">
        <v>31</v>
      </c>
      <c r="K54" s="147" t="s">
        <v>32</v>
      </c>
      <c r="L54" s="3" t="s">
        <v>43</v>
      </c>
      <c r="M54" s="152" t="s">
        <v>34</v>
      </c>
      <c r="N54" s="152">
        <v>3</v>
      </c>
      <c r="O54" s="152">
        <v>3</v>
      </c>
      <c r="P54" s="172"/>
      <c r="Q54" s="3" t="s">
        <v>35</v>
      </c>
      <c r="R54" s="18">
        <v>15</v>
      </c>
      <c r="S54" s="71" t="s">
        <v>55</v>
      </c>
    </row>
    <row r="55" spans="1:19" ht="15.75" customHeight="1" thickBot="1"/>
    <row r="56" spans="1:19" ht="23.25" customHeight="1" thickBot="1">
      <c r="A56" s="235"/>
      <c r="B56" s="235"/>
      <c r="C56" s="235"/>
      <c r="D56" s="236" t="s">
        <v>166</v>
      </c>
      <c r="E56" s="237"/>
      <c r="F56" s="238" t="s">
        <v>167</v>
      </c>
      <c r="G56" s="225"/>
      <c r="H56" s="225"/>
      <c r="I56" s="225"/>
      <c r="J56" s="225"/>
      <c r="K56" s="225"/>
      <c r="L56" s="223"/>
      <c r="M56" s="55"/>
    </row>
    <row r="57" spans="1:19" ht="24.75" customHeight="1" thickBot="1">
      <c r="A57" s="230"/>
      <c r="B57" s="230"/>
      <c r="C57" s="230"/>
      <c r="D57" s="236" t="s">
        <v>168</v>
      </c>
      <c r="E57" s="237"/>
      <c r="F57" s="224" t="s">
        <v>169</v>
      </c>
      <c r="G57" s="225"/>
      <c r="H57" s="225"/>
      <c r="I57" s="225"/>
      <c r="J57" s="225"/>
      <c r="K57" s="225"/>
      <c r="L57" s="223"/>
      <c r="M57" s="55"/>
    </row>
    <row r="58" spans="1:19">
      <c r="D58" s="126"/>
      <c r="E58" s="88"/>
      <c r="F58" s="89"/>
      <c r="L58" s="90"/>
    </row>
    <row r="59" spans="1:19">
      <c r="D59" s="127"/>
      <c r="E59" s="92"/>
      <c r="L59" s="90"/>
    </row>
    <row r="60" spans="1:19">
      <c r="D60" s="127"/>
      <c r="E60" s="92"/>
      <c r="F60" s="93"/>
      <c r="L60" s="90"/>
    </row>
    <row r="61" spans="1:19">
      <c r="D61" s="127"/>
      <c r="E61" s="92"/>
      <c r="F61" s="93"/>
      <c r="L61" s="90"/>
    </row>
    <row r="62" spans="1:19" ht="16.5" thickBot="1">
      <c r="D62" s="128"/>
      <c r="E62" s="95"/>
      <c r="F62" s="96"/>
      <c r="L62" s="90"/>
      <c r="N62" s="97"/>
      <c r="O62" s="97"/>
      <c r="P62" s="97"/>
      <c r="Q62" s="97"/>
      <c r="R62" s="97"/>
    </row>
    <row r="63" spans="1:19" ht="19.5" thickBot="1">
      <c r="A63" s="235"/>
      <c r="B63" s="235"/>
      <c r="C63" s="235"/>
      <c r="D63" s="222" t="s">
        <v>170</v>
      </c>
      <c r="E63" s="223"/>
      <c r="F63" s="224" t="s">
        <v>170</v>
      </c>
      <c r="G63" s="225"/>
      <c r="H63" s="225"/>
      <c r="I63" s="225"/>
      <c r="J63" s="225"/>
      <c r="K63" s="225"/>
      <c r="L63" s="223"/>
      <c r="M63" s="55"/>
      <c r="N63" s="97"/>
      <c r="O63" s="97"/>
      <c r="P63" s="97"/>
      <c r="Q63" s="97"/>
      <c r="R63" s="97"/>
    </row>
    <row r="64" spans="1:19" ht="19.5" thickBot="1">
      <c r="A64" s="230"/>
      <c r="B64" s="230"/>
      <c r="C64" s="230"/>
      <c r="D64" s="231" t="s">
        <v>171</v>
      </c>
      <c r="E64" s="232"/>
      <c r="F64" s="233" t="s">
        <v>172</v>
      </c>
      <c r="G64" s="233"/>
      <c r="H64" s="233"/>
      <c r="I64" s="233"/>
      <c r="J64" s="233"/>
      <c r="K64" s="233"/>
      <c r="L64" s="234"/>
      <c r="M64" s="86"/>
      <c r="N64" s="97"/>
      <c r="O64" s="97"/>
      <c r="P64" s="97"/>
      <c r="Q64" s="97"/>
      <c r="R64" s="97"/>
    </row>
    <row r="65" spans="5:19" ht="15.75">
      <c r="N65" s="97"/>
      <c r="O65" s="97"/>
      <c r="P65" s="97"/>
      <c r="Q65" s="97"/>
      <c r="R65" s="97"/>
    </row>
    <row r="66" spans="5:19" ht="15.75">
      <c r="N66" s="97"/>
      <c r="O66" s="97"/>
      <c r="P66" s="97"/>
      <c r="Q66" s="97"/>
      <c r="R66" s="97"/>
    </row>
    <row r="67" spans="5:19" s="50" customFormat="1" ht="30" customHeight="1">
      <c r="E67" s="98"/>
      <c r="S67" s="99"/>
    </row>
    <row r="68" spans="5:19" s="50" customFormat="1" ht="21.95" customHeight="1">
      <c r="E68" s="98"/>
      <c r="S68" s="99"/>
    </row>
    <row r="69" spans="5:19" s="50" customFormat="1" ht="21.95" customHeight="1">
      <c r="E69" s="98"/>
      <c r="N69" s="55"/>
      <c r="O69" s="55"/>
      <c r="P69" s="55"/>
      <c r="Q69" s="55"/>
      <c r="R69" s="55"/>
      <c r="S69" s="99"/>
    </row>
    <row r="70" spans="5:19" ht="15.95" customHeight="1"/>
    <row r="71" spans="5:19" ht="15.95" customHeight="1"/>
    <row r="72" spans="5:19" ht="15.95" customHeight="1"/>
    <row r="73" spans="5:19" ht="15.95" customHeight="1"/>
    <row r="74" spans="5:19" s="50" customFormat="1" ht="18.75">
      <c r="E74" s="98"/>
      <c r="N74" s="55"/>
      <c r="O74" s="55"/>
      <c r="P74" s="55"/>
      <c r="Q74" s="55"/>
      <c r="R74" s="55"/>
      <c r="S74" s="99"/>
    </row>
  </sheetData>
  <autoFilter ref="A12:S45" xr:uid="{42B0E8B4-E2A4-4643-AC54-743FAFE885AC}">
    <filterColumn colId="2" showButton="0"/>
  </autoFilter>
  <mergeCells count="121">
    <mergeCell ref="A50:A52"/>
    <mergeCell ref="B50:B52"/>
    <mergeCell ref="C50:C52"/>
    <mergeCell ref="D50:D52"/>
    <mergeCell ref="R50:R52"/>
    <mergeCell ref="S50:S52"/>
    <mergeCell ref="D25:D31"/>
    <mergeCell ref="E34:E35"/>
    <mergeCell ref="F34:F35"/>
    <mergeCell ref="G34:G35"/>
    <mergeCell ref="H34:H35"/>
    <mergeCell ref="I34:I35"/>
    <mergeCell ref="J34:J35"/>
    <mergeCell ref="A46:R46"/>
    <mergeCell ref="A43:A45"/>
    <mergeCell ref="B43:B45"/>
    <mergeCell ref="C43:C45"/>
    <mergeCell ref="D43:D45"/>
    <mergeCell ref="P43:P45"/>
    <mergeCell ref="A39:A42"/>
    <mergeCell ref="P39:P42"/>
    <mergeCell ref="J32:J33"/>
    <mergeCell ref="M32:M33"/>
    <mergeCell ref="A32:A38"/>
    <mergeCell ref="D63:E63"/>
    <mergeCell ref="F63:L63"/>
    <mergeCell ref="A53:A54"/>
    <mergeCell ref="B53:B54"/>
    <mergeCell ref="C53:C54"/>
    <mergeCell ref="D53:D54"/>
    <mergeCell ref="P53:P54"/>
    <mergeCell ref="A64:C64"/>
    <mergeCell ref="D64:E64"/>
    <mergeCell ref="F64:L64"/>
    <mergeCell ref="A56:C56"/>
    <mergeCell ref="D56:E56"/>
    <mergeCell ref="F56:L56"/>
    <mergeCell ref="A57:C57"/>
    <mergeCell ref="D57:E57"/>
    <mergeCell ref="F57:L57"/>
    <mergeCell ref="A63:C63"/>
    <mergeCell ref="A25:A31"/>
    <mergeCell ref="B25:B31"/>
    <mergeCell ref="P32:P38"/>
    <mergeCell ref="R32:R33"/>
    <mergeCell ref="C25:C31"/>
    <mergeCell ref="Q25:Q26"/>
    <mergeCell ref="R25:R26"/>
    <mergeCell ref="O32:O33"/>
    <mergeCell ref="O34:O35"/>
    <mergeCell ref="P22:P24"/>
    <mergeCell ref="D32:D38"/>
    <mergeCell ref="E32:E33"/>
    <mergeCell ref="F32:F33"/>
    <mergeCell ref="G32:G33"/>
    <mergeCell ref="H32:H33"/>
    <mergeCell ref="I32:I33"/>
    <mergeCell ref="P25:P31"/>
    <mergeCell ref="O25:O26"/>
    <mergeCell ref="A22:A24"/>
    <mergeCell ref="B22:B24"/>
    <mergeCell ref="S12:S13"/>
    <mergeCell ref="A15:A19"/>
    <mergeCell ref="B15:B19"/>
    <mergeCell ref="C15:C19"/>
    <mergeCell ref="D15:D19"/>
    <mergeCell ref="F12:F13"/>
    <mergeCell ref="G12:G13"/>
    <mergeCell ref="H12:H13"/>
    <mergeCell ref="I12:I13"/>
    <mergeCell ref="J12:J13"/>
    <mergeCell ref="K12:K13"/>
    <mergeCell ref="S17:S18"/>
    <mergeCell ref="N17:N18"/>
    <mergeCell ref="O17:O18"/>
    <mergeCell ref="R17:R18"/>
    <mergeCell ref="E17:E18"/>
    <mergeCell ref="F17:F18"/>
    <mergeCell ref="G17:G18"/>
    <mergeCell ref="H17:H18"/>
    <mergeCell ref="I17:I18"/>
    <mergeCell ref="J17:J18"/>
    <mergeCell ref="P15:P21"/>
    <mergeCell ref="A6:R6"/>
    <mergeCell ref="A7:R7"/>
    <mergeCell ref="B8:R8"/>
    <mergeCell ref="A9:R9"/>
    <mergeCell ref="A11:N11"/>
    <mergeCell ref="P11:P13"/>
    <mergeCell ref="A12:A13"/>
    <mergeCell ref="B12:B13"/>
    <mergeCell ref="C12:D12"/>
    <mergeCell ref="E12:E13"/>
    <mergeCell ref="L12:L13"/>
    <mergeCell ref="N12:N13"/>
    <mergeCell ref="Q12:Q13"/>
    <mergeCell ref="R12:R13"/>
    <mergeCell ref="Q50:Q52"/>
    <mergeCell ref="G20:G21"/>
    <mergeCell ref="H20:H21"/>
    <mergeCell ref="I20:I21"/>
    <mergeCell ref="J20:J21"/>
    <mergeCell ref="N20:N21"/>
    <mergeCell ref="O20:O21"/>
    <mergeCell ref="B39:B42"/>
    <mergeCell ref="C39:C42"/>
    <mergeCell ref="D39:D42"/>
    <mergeCell ref="C22:C24"/>
    <mergeCell ref="D22:D24"/>
    <mergeCell ref="B32:B38"/>
    <mergeCell ref="C32:C38"/>
    <mergeCell ref="P50:P52"/>
    <mergeCell ref="E25:E26"/>
    <mergeCell ref="F25:F26"/>
    <mergeCell ref="E51:E52"/>
    <mergeCell ref="F51:F52"/>
    <mergeCell ref="G51:G52"/>
    <mergeCell ref="H51:H52"/>
    <mergeCell ref="I51:I52"/>
    <mergeCell ref="E20:E21"/>
    <mergeCell ref="F20:F21"/>
  </mergeCells>
  <pageMargins left="0.7" right="0.7" top="0.75" bottom="0.75" header="0.3" footer="0.3"/>
  <pageSetup scale="1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C8AF3-8167-4B65-AB8F-8E5A0B0BD44B}">
  <dimension ref="A5:U89"/>
  <sheetViews>
    <sheetView topLeftCell="A53" zoomScale="56" workbookViewId="0">
      <selection activeCell="E58" sqref="A58:XFD59"/>
    </sheetView>
  </sheetViews>
  <sheetFormatPr defaultColWidth="11.42578125" defaultRowHeight="15"/>
  <cols>
    <col min="1" max="1" width="6.5703125" style="48" customWidth="1"/>
    <col min="2" max="2" width="44.85546875" style="48" customWidth="1"/>
    <col min="3" max="3" width="37.28515625" style="48" customWidth="1"/>
    <col min="4" max="4" width="47" style="48" customWidth="1"/>
    <col min="5" max="5" width="53" style="49" customWidth="1"/>
    <col min="6" max="6" width="26.28515625" style="48" customWidth="1"/>
    <col min="7" max="7" width="11.140625" style="48" customWidth="1"/>
    <col min="8" max="8" width="17.140625" style="48" customWidth="1"/>
    <col min="9" max="9" width="24.28515625" style="48" customWidth="1"/>
    <col min="10" max="10" width="19.85546875" style="48" customWidth="1"/>
    <col min="11" max="11" width="21.85546875" style="50" customWidth="1"/>
    <col min="12" max="13" width="21.85546875" style="48" customWidth="1"/>
    <col min="14" max="17" width="18.28515625" style="48" customWidth="1"/>
    <col min="18" max="18" width="29" style="48" customWidth="1"/>
    <col min="19" max="19" width="24.5703125" style="51" customWidth="1"/>
    <col min="20" max="20" width="44.7109375" style="48" customWidth="1"/>
    <col min="21" max="16384" width="11.42578125" style="48"/>
  </cols>
  <sheetData>
    <row r="5" spans="1:21" ht="17.25" customHeight="1"/>
    <row r="6" spans="1:21" ht="29.25" customHeight="1">
      <c r="A6" s="182" t="s">
        <v>0</v>
      </c>
      <c r="B6" s="182"/>
      <c r="C6" s="182"/>
      <c r="D6" s="182"/>
      <c r="E6" s="182"/>
      <c r="F6" s="182"/>
      <c r="G6" s="182"/>
      <c r="H6" s="182"/>
      <c r="I6" s="182"/>
      <c r="J6" s="182"/>
      <c r="K6" s="182"/>
      <c r="L6" s="182"/>
      <c r="M6" s="182"/>
      <c r="N6" s="182"/>
      <c r="O6" s="182"/>
      <c r="P6" s="182"/>
      <c r="Q6" s="182"/>
      <c r="R6" s="182"/>
    </row>
    <row r="7" spans="1:21" ht="27.75" customHeight="1">
      <c r="A7" s="183" t="s">
        <v>1</v>
      </c>
      <c r="B7" s="183"/>
      <c r="C7" s="183"/>
      <c r="D7" s="183"/>
      <c r="E7" s="183"/>
      <c r="F7" s="183"/>
      <c r="G7" s="183"/>
      <c r="H7" s="183"/>
      <c r="I7" s="183"/>
      <c r="J7" s="183"/>
      <c r="K7" s="183"/>
      <c r="L7" s="183"/>
      <c r="M7" s="183"/>
      <c r="N7" s="183"/>
      <c r="O7" s="183"/>
      <c r="P7" s="183"/>
      <c r="Q7" s="183"/>
      <c r="R7" s="183"/>
    </row>
    <row r="8" spans="1:21" ht="27.75" customHeight="1">
      <c r="A8" s="52"/>
      <c r="B8" s="183" t="s">
        <v>2</v>
      </c>
      <c r="C8" s="183"/>
      <c r="D8" s="183"/>
      <c r="E8" s="183"/>
      <c r="F8" s="183"/>
      <c r="G8" s="183"/>
      <c r="H8" s="183"/>
      <c r="I8" s="183"/>
      <c r="J8" s="183"/>
      <c r="K8" s="183"/>
      <c r="L8" s="183"/>
      <c r="M8" s="183"/>
      <c r="N8" s="183"/>
      <c r="O8" s="183"/>
      <c r="P8" s="183"/>
      <c r="Q8" s="183"/>
      <c r="R8" s="183"/>
    </row>
    <row r="9" spans="1:21" ht="26.25">
      <c r="A9" s="182" t="s">
        <v>173</v>
      </c>
      <c r="B9" s="182"/>
      <c r="C9" s="182"/>
      <c r="D9" s="182"/>
      <c r="E9" s="182"/>
      <c r="F9" s="182"/>
      <c r="G9" s="182"/>
      <c r="H9" s="182"/>
      <c r="I9" s="182"/>
      <c r="J9" s="182"/>
      <c r="K9" s="182"/>
      <c r="L9" s="182"/>
      <c r="M9" s="182"/>
      <c r="N9" s="182"/>
      <c r="O9" s="182"/>
      <c r="P9" s="182"/>
      <c r="Q9" s="182"/>
      <c r="R9" s="182"/>
    </row>
    <row r="10" spans="1:21" ht="30" customHeight="1">
      <c r="A10" s="53"/>
      <c r="B10" s="53"/>
      <c r="C10" s="53"/>
      <c r="D10" s="53"/>
      <c r="E10" s="54"/>
      <c r="F10" s="53"/>
      <c r="G10" s="53"/>
      <c r="H10" s="53"/>
      <c r="I10" s="53"/>
      <c r="J10" s="53"/>
      <c r="K10" s="55"/>
      <c r="L10" s="53"/>
      <c r="M10" s="53"/>
      <c r="N10" s="53"/>
      <c r="O10" s="53"/>
      <c r="P10" s="53"/>
      <c r="Q10" s="53"/>
      <c r="R10" s="53"/>
    </row>
    <row r="11" spans="1:21" ht="28.5" customHeight="1">
      <c r="A11" s="184" t="s">
        <v>4</v>
      </c>
      <c r="B11" s="184"/>
      <c r="C11" s="184"/>
      <c r="D11" s="184"/>
      <c r="E11" s="184"/>
      <c r="F11" s="184"/>
      <c r="G11" s="184"/>
      <c r="H11" s="184"/>
      <c r="I11" s="184"/>
      <c r="J11" s="184"/>
      <c r="K11" s="184"/>
      <c r="L11" s="184"/>
      <c r="M11" s="184"/>
      <c r="N11" s="184"/>
      <c r="O11" s="56"/>
      <c r="P11" s="185" t="s">
        <v>5</v>
      </c>
      <c r="Q11" s="57"/>
      <c r="R11" s="56"/>
    </row>
    <row r="12" spans="1:21" ht="55.5" customHeight="1">
      <c r="A12" s="184" t="s">
        <v>6</v>
      </c>
      <c r="B12" s="184" t="s">
        <v>7</v>
      </c>
      <c r="C12" s="184" t="s">
        <v>8</v>
      </c>
      <c r="D12" s="184"/>
      <c r="E12" s="188" t="s">
        <v>9</v>
      </c>
      <c r="F12" s="184" t="s">
        <v>10</v>
      </c>
      <c r="G12" s="184" t="s">
        <v>11</v>
      </c>
      <c r="H12" s="184" t="s">
        <v>12</v>
      </c>
      <c r="I12" s="184" t="s">
        <v>13</v>
      </c>
      <c r="J12" s="184" t="s">
        <v>14</v>
      </c>
      <c r="K12" s="184" t="s">
        <v>15</v>
      </c>
      <c r="L12" s="184" t="s">
        <v>16</v>
      </c>
      <c r="M12" s="56"/>
      <c r="N12" s="184" t="s">
        <v>17</v>
      </c>
      <c r="O12" s="56" t="s">
        <v>18</v>
      </c>
      <c r="P12" s="185"/>
      <c r="Q12" s="184" t="s">
        <v>19</v>
      </c>
      <c r="R12" s="184" t="s">
        <v>20</v>
      </c>
      <c r="S12" s="184" t="s">
        <v>21</v>
      </c>
      <c r="T12" s="48" t="s">
        <v>174</v>
      </c>
      <c r="U12" s="48" t="s">
        <v>175</v>
      </c>
    </row>
    <row r="13" spans="1:21" ht="28.5" customHeight="1">
      <c r="A13" s="187"/>
      <c r="B13" s="187"/>
      <c r="C13" s="58" t="s">
        <v>22</v>
      </c>
      <c r="D13" s="58" t="s">
        <v>23</v>
      </c>
      <c r="E13" s="189"/>
      <c r="F13" s="187"/>
      <c r="G13" s="187"/>
      <c r="H13" s="187"/>
      <c r="I13" s="187"/>
      <c r="J13" s="187"/>
      <c r="K13" s="187"/>
      <c r="L13" s="187"/>
      <c r="M13" s="58"/>
      <c r="N13" s="187"/>
      <c r="O13" s="58"/>
      <c r="P13" s="186"/>
      <c r="Q13" s="187"/>
      <c r="R13" s="187"/>
      <c r="S13" s="187"/>
    </row>
    <row r="14" spans="1:21" ht="131.25" customHeight="1">
      <c r="A14" s="2">
        <v>1</v>
      </c>
      <c r="B14" s="2" t="s">
        <v>24</v>
      </c>
      <c r="C14" s="3" t="s">
        <v>25</v>
      </c>
      <c r="D14" s="3" t="s">
        <v>176</v>
      </c>
      <c r="E14" s="17" t="s">
        <v>27</v>
      </c>
      <c r="F14" s="3" t="s">
        <v>28</v>
      </c>
      <c r="G14" s="3" t="s">
        <v>177</v>
      </c>
      <c r="H14" s="3">
        <v>2023</v>
      </c>
      <c r="I14" s="3" t="s">
        <v>30</v>
      </c>
      <c r="J14" s="3" t="s">
        <v>31</v>
      </c>
      <c r="K14" s="6" t="s">
        <v>52</v>
      </c>
      <c r="L14" s="12" t="s">
        <v>120</v>
      </c>
      <c r="M14" s="8" t="s">
        <v>34</v>
      </c>
      <c r="N14" s="9">
        <v>3</v>
      </c>
      <c r="O14" s="18">
        <v>3</v>
      </c>
      <c r="P14" s="3">
        <f>SUM(N14)</f>
        <v>3</v>
      </c>
      <c r="Q14" s="3" t="s">
        <v>35</v>
      </c>
      <c r="R14" s="9">
        <v>17</v>
      </c>
      <c r="S14" s="60" t="s">
        <v>178</v>
      </c>
      <c r="T14" s="48" t="s">
        <v>179</v>
      </c>
    </row>
    <row r="15" spans="1:21" ht="35.25" customHeight="1">
      <c r="A15" s="191">
        <v>2</v>
      </c>
      <c r="B15" s="191" t="s">
        <v>37</v>
      </c>
      <c r="C15" s="159" t="s">
        <v>25</v>
      </c>
      <c r="D15" s="159" t="s">
        <v>38</v>
      </c>
      <c r="E15" s="17" t="s">
        <v>39</v>
      </c>
      <c r="F15" s="3" t="s">
        <v>28</v>
      </c>
      <c r="G15" s="14" t="s">
        <v>40</v>
      </c>
      <c r="H15" s="3">
        <v>2019</v>
      </c>
      <c r="I15" s="3" t="s">
        <v>41</v>
      </c>
      <c r="J15" s="3" t="s">
        <v>31</v>
      </c>
      <c r="K15" s="6" t="s">
        <v>32</v>
      </c>
      <c r="L15" s="12" t="s">
        <v>75</v>
      </c>
      <c r="M15" s="8" t="s">
        <v>34</v>
      </c>
      <c r="N15" s="30">
        <v>3</v>
      </c>
      <c r="O15" s="31">
        <v>3</v>
      </c>
      <c r="P15" s="197">
        <f>SUM(N15:N22)</f>
        <v>21</v>
      </c>
      <c r="Q15" s="3" t="s">
        <v>35</v>
      </c>
      <c r="R15" s="9">
        <v>18</v>
      </c>
      <c r="S15" s="61" t="s">
        <v>180</v>
      </c>
      <c r="T15" s="48" t="s">
        <v>181</v>
      </c>
    </row>
    <row r="16" spans="1:21" ht="35.25" customHeight="1">
      <c r="A16" s="192"/>
      <c r="B16" s="192"/>
      <c r="C16" s="168"/>
      <c r="D16" s="168"/>
      <c r="E16" s="17" t="s">
        <v>45</v>
      </c>
      <c r="F16" s="3" t="s">
        <v>28</v>
      </c>
      <c r="G16" s="37" t="s">
        <v>46</v>
      </c>
      <c r="H16" s="3">
        <v>2019</v>
      </c>
      <c r="I16" s="3" t="s">
        <v>182</v>
      </c>
      <c r="J16" s="3" t="s">
        <v>31</v>
      </c>
      <c r="K16" s="6" t="s">
        <v>32</v>
      </c>
      <c r="L16" s="12" t="s">
        <v>96</v>
      </c>
      <c r="M16" s="8" t="s">
        <v>34</v>
      </c>
      <c r="N16" s="30">
        <v>3</v>
      </c>
      <c r="O16" s="31">
        <v>3</v>
      </c>
      <c r="P16" s="198"/>
      <c r="Q16" s="3" t="s">
        <v>35</v>
      </c>
      <c r="R16" s="9">
        <v>17</v>
      </c>
      <c r="S16" s="61" t="s">
        <v>180</v>
      </c>
    </row>
    <row r="17" spans="1:21" ht="35.25" customHeight="1">
      <c r="A17" s="192"/>
      <c r="B17" s="192"/>
      <c r="C17" s="168"/>
      <c r="D17" s="168"/>
      <c r="E17" s="101" t="s">
        <v>183</v>
      </c>
      <c r="F17" s="3" t="s">
        <v>28</v>
      </c>
      <c r="G17" s="37" t="s">
        <v>184</v>
      </c>
      <c r="H17" s="3">
        <v>2023</v>
      </c>
      <c r="I17" s="3" t="s">
        <v>185</v>
      </c>
      <c r="J17" s="3" t="s">
        <v>31</v>
      </c>
      <c r="K17" s="6" t="s">
        <v>42</v>
      </c>
      <c r="L17" s="12" t="s">
        <v>96</v>
      </c>
      <c r="M17" s="8" t="s">
        <v>34</v>
      </c>
      <c r="N17" s="30">
        <v>3</v>
      </c>
      <c r="O17" s="67">
        <v>3</v>
      </c>
      <c r="P17" s="198"/>
      <c r="Q17" s="3"/>
      <c r="R17" s="18"/>
      <c r="S17" s="13"/>
    </row>
    <row r="18" spans="1:21" ht="42" customHeight="1">
      <c r="A18" s="192"/>
      <c r="B18" s="192"/>
      <c r="C18" s="168"/>
      <c r="D18" s="168"/>
      <c r="E18" s="252" t="s">
        <v>186</v>
      </c>
      <c r="F18" s="159" t="s">
        <v>28</v>
      </c>
      <c r="G18" s="254" t="s">
        <v>187</v>
      </c>
      <c r="H18" s="159">
        <v>2019</v>
      </c>
      <c r="I18" s="159" t="s">
        <v>188</v>
      </c>
      <c r="J18" s="159" t="s">
        <v>31</v>
      </c>
      <c r="K18" s="267" t="s">
        <v>52</v>
      </c>
      <c r="L18" s="275" t="s">
        <v>189</v>
      </c>
      <c r="M18" s="271" t="s">
        <v>57</v>
      </c>
      <c r="N18" s="256">
        <v>6</v>
      </c>
      <c r="O18" s="258">
        <v>6</v>
      </c>
      <c r="P18" s="198"/>
      <c r="Q18" s="3" t="s">
        <v>35</v>
      </c>
      <c r="R18" s="195">
        <v>13</v>
      </c>
      <c r="S18" s="193" t="s">
        <v>55</v>
      </c>
    </row>
    <row r="19" spans="1:21" ht="40.5" customHeight="1">
      <c r="A19" s="192"/>
      <c r="B19" s="192"/>
      <c r="C19" s="168"/>
      <c r="D19" s="168"/>
      <c r="E19" s="253"/>
      <c r="F19" s="160"/>
      <c r="G19" s="255"/>
      <c r="H19" s="160"/>
      <c r="I19" s="160"/>
      <c r="J19" s="160"/>
      <c r="K19" s="268"/>
      <c r="L19" s="276"/>
      <c r="M19" s="272"/>
      <c r="N19" s="257"/>
      <c r="O19" s="259"/>
      <c r="P19" s="198"/>
      <c r="Q19" s="3" t="s">
        <v>35</v>
      </c>
      <c r="R19" s="196"/>
      <c r="S19" s="260"/>
    </row>
    <row r="20" spans="1:21" ht="35.25" customHeight="1">
      <c r="A20" s="192"/>
      <c r="B20" s="192"/>
      <c r="C20" s="168"/>
      <c r="D20" s="168"/>
      <c r="E20" s="252" t="s">
        <v>190</v>
      </c>
      <c r="F20" s="159" t="s">
        <v>28</v>
      </c>
      <c r="G20" s="263" t="s">
        <v>50</v>
      </c>
      <c r="H20" s="159">
        <v>2023</v>
      </c>
      <c r="I20" s="159" t="s">
        <v>51</v>
      </c>
      <c r="J20" s="159" t="s">
        <v>31</v>
      </c>
      <c r="K20" s="267" t="s">
        <v>42</v>
      </c>
      <c r="L20" s="269" t="s">
        <v>96</v>
      </c>
      <c r="M20" s="271" t="s">
        <v>57</v>
      </c>
      <c r="N20" s="273">
        <v>3</v>
      </c>
      <c r="O20" s="258">
        <v>6</v>
      </c>
      <c r="P20" s="198"/>
      <c r="Q20" s="3" t="s">
        <v>35</v>
      </c>
      <c r="R20" s="195">
        <v>9</v>
      </c>
      <c r="S20" s="193" t="s">
        <v>55</v>
      </c>
    </row>
    <row r="21" spans="1:21" ht="35.25" customHeight="1">
      <c r="A21" s="192"/>
      <c r="B21" s="192"/>
      <c r="C21" s="168"/>
      <c r="D21" s="168"/>
      <c r="E21" s="261"/>
      <c r="F21" s="168"/>
      <c r="G21" s="264"/>
      <c r="H21" s="168"/>
      <c r="I21" s="168"/>
      <c r="J21" s="168"/>
      <c r="K21" s="268"/>
      <c r="L21" s="270"/>
      <c r="M21" s="272"/>
      <c r="N21" s="174"/>
      <c r="O21" s="274"/>
      <c r="P21" s="198"/>
      <c r="Q21" s="3" t="s">
        <v>35</v>
      </c>
      <c r="R21" s="196"/>
      <c r="S21" s="194"/>
    </row>
    <row r="22" spans="1:21" ht="35.25" customHeight="1">
      <c r="A22" s="251"/>
      <c r="B22" s="251"/>
      <c r="C22" s="160"/>
      <c r="D22" s="160"/>
      <c r="E22" s="262"/>
      <c r="F22" s="160"/>
      <c r="G22" s="265"/>
      <c r="H22" s="160"/>
      <c r="I22" s="160"/>
      <c r="J22" s="160"/>
      <c r="K22" s="45" t="s">
        <v>52</v>
      </c>
      <c r="L22" s="68" t="s">
        <v>33</v>
      </c>
      <c r="M22" s="47" t="s">
        <v>57</v>
      </c>
      <c r="N22" s="30">
        <v>3</v>
      </c>
      <c r="O22" s="259"/>
      <c r="P22" s="199"/>
      <c r="Q22" s="3"/>
      <c r="R22" s="38">
        <v>9</v>
      </c>
      <c r="S22" s="260"/>
    </row>
    <row r="23" spans="1:21" ht="37.5" customHeight="1">
      <c r="A23" s="190">
        <v>3</v>
      </c>
      <c r="B23" s="266" t="s">
        <v>65</v>
      </c>
      <c r="C23" s="172" t="s">
        <v>66</v>
      </c>
      <c r="D23" s="172" t="s">
        <v>191</v>
      </c>
      <c r="E23" s="4" t="s">
        <v>192</v>
      </c>
      <c r="F23" s="3" t="s">
        <v>28</v>
      </c>
      <c r="G23" s="11" t="s">
        <v>50</v>
      </c>
      <c r="H23" s="3">
        <v>2023</v>
      </c>
      <c r="I23" s="3" t="s">
        <v>74</v>
      </c>
      <c r="J23" s="3" t="s">
        <v>31</v>
      </c>
      <c r="K23" s="6" t="s">
        <v>32</v>
      </c>
      <c r="L23" s="12" t="s">
        <v>75</v>
      </c>
      <c r="M23" s="8" t="s">
        <v>34</v>
      </c>
      <c r="N23" s="9">
        <v>3</v>
      </c>
      <c r="O23" s="18">
        <v>3</v>
      </c>
      <c r="P23" s="172">
        <f>SUM(N23,N25,N52)</f>
        <v>9</v>
      </c>
      <c r="Q23" s="3" t="s">
        <v>35</v>
      </c>
      <c r="R23" s="9">
        <v>9</v>
      </c>
      <c r="S23" s="61" t="s">
        <v>193</v>
      </c>
    </row>
    <row r="24" spans="1:21" ht="57" customHeight="1">
      <c r="A24" s="190"/>
      <c r="B24" s="266"/>
      <c r="C24" s="172"/>
      <c r="D24" s="172"/>
      <c r="E24" s="100" t="s">
        <v>194</v>
      </c>
      <c r="F24" s="3" t="s">
        <v>28</v>
      </c>
      <c r="G24" s="11" t="s">
        <v>184</v>
      </c>
      <c r="H24" s="3">
        <v>2023</v>
      </c>
      <c r="I24" s="3" t="s">
        <v>195</v>
      </c>
      <c r="J24" s="3" t="s">
        <v>31</v>
      </c>
      <c r="K24" s="6"/>
      <c r="L24" s="12"/>
      <c r="M24" s="8"/>
      <c r="N24" s="30">
        <v>3</v>
      </c>
      <c r="O24" s="102"/>
      <c r="P24" s="197"/>
      <c r="Q24" s="3"/>
      <c r="R24" s="9"/>
      <c r="S24" s="71"/>
    </row>
    <row r="25" spans="1:21" ht="79.5" customHeight="1">
      <c r="A25" s="190"/>
      <c r="B25" s="266"/>
      <c r="C25" s="172"/>
      <c r="D25" s="172"/>
      <c r="E25" s="4" t="s">
        <v>196</v>
      </c>
      <c r="F25" s="3" t="s">
        <v>28</v>
      </c>
      <c r="G25" s="29" t="s">
        <v>77</v>
      </c>
      <c r="H25" s="3">
        <v>2019</v>
      </c>
      <c r="I25" s="3" t="s">
        <v>78</v>
      </c>
      <c r="J25" s="3" t="s">
        <v>31</v>
      </c>
      <c r="K25" s="6" t="s">
        <v>42</v>
      </c>
      <c r="L25" s="7" t="s">
        <v>75</v>
      </c>
      <c r="M25" s="8" t="s">
        <v>34</v>
      </c>
      <c r="N25" s="30">
        <v>3</v>
      </c>
      <c r="O25" s="34">
        <v>3</v>
      </c>
      <c r="P25" s="197"/>
      <c r="Q25" s="3" t="s">
        <v>35</v>
      </c>
      <c r="R25" s="9">
        <v>11</v>
      </c>
      <c r="S25" s="71" t="s">
        <v>55</v>
      </c>
      <c r="T25" s="48" t="s">
        <v>197</v>
      </c>
      <c r="U25" s="48" t="s">
        <v>198</v>
      </c>
    </row>
    <row r="26" spans="1:21" ht="26.25" customHeight="1">
      <c r="A26" s="191">
        <v>4</v>
      </c>
      <c r="B26" s="284" t="s">
        <v>79</v>
      </c>
      <c r="C26" s="159" t="s">
        <v>25</v>
      </c>
      <c r="D26" s="159" t="s">
        <v>80</v>
      </c>
      <c r="E26" s="104" t="s">
        <v>199</v>
      </c>
      <c r="F26" s="28" t="s">
        <v>28</v>
      </c>
      <c r="G26" s="72" t="s">
        <v>184</v>
      </c>
      <c r="H26" s="28">
        <v>2023</v>
      </c>
      <c r="I26" s="3" t="s">
        <v>200</v>
      </c>
      <c r="J26" s="3" t="s">
        <v>31</v>
      </c>
      <c r="K26" s="45"/>
      <c r="L26" s="46"/>
      <c r="M26" s="47"/>
      <c r="N26" s="30">
        <v>3</v>
      </c>
      <c r="O26" s="67"/>
      <c r="P26" s="286">
        <f>SUM(N26:N31)</f>
        <v>16</v>
      </c>
      <c r="Q26" s="287" t="s">
        <v>35</v>
      </c>
      <c r="R26" s="195">
        <v>17</v>
      </c>
      <c r="S26" s="277" t="s">
        <v>55</v>
      </c>
    </row>
    <row r="27" spans="1:21" ht="25.5" customHeight="1">
      <c r="A27" s="192"/>
      <c r="B27" s="285"/>
      <c r="C27" s="168"/>
      <c r="D27" s="168"/>
      <c r="E27" s="17" t="s">
        <v>201</v>
      </c>
      <c r="F27" s="3" t="s">
        <v>28</v>
      </c>
      <c r="G27" s="11" t="s">
        <v>187</v>
      </c>
      <c r="H27" s="3">
        <v>2019</v>
      </c>
      <c r="I27" s="3" t="s">
        <v>202</v>
      </c>
      <c r="J27" s="3" t="s">
        <v>31</v>
      </c>
      <c r="K27" s="6" t="s">
        <v>52</v>
      </c>
      <c r="L27" s="12" t="s">
        <v>43</v>
      </c>
      <c r="M27" s="8" t="s">
        <v>34</v>
      </c>
      <c r="N27" s="9">
        <v>3</v>
      </c>
      <c r="O27" s="67">
        <v>3</v>
      </c>
      <c r="P27" s="209"/>
      <c r="Q27" s="288"/>
      <c r="R27" s="196"/>
      <c r="S27" s="278"/>
    </row>
    <row r="28" spans="1:21" ht="37.5" customHeight="1">
      <c r="A28" s="192"/>
      <c r="B28" s="285"/>
      <c r="C28" s="168"/>
      <c r="D28" s="168"/>
      <c r="E28" s="17" t="s">
        <v>203</v>
      </c>
      <c r="F28" s="3" t="s">
        <v>28</v>
      </c>
      <c r="G28" s="3" t="s">
        <v>204</v>
      </c>
      <c r="H28" s="3">
        <v>2023</v>
      </c>
      <c r="I28" s="3" t="s">
        <v>82</v>
      </c>
      <c r="J28" s="3" t="s">
        <v>31</v>
      </c>
      <c r="K28" s="59" t="s">
        <v>42</v>
      </c>
      <c r="L28" s="73" t="s">
        <v>205</v>
      </c>
      <c r="M28" s="8" t="s">
        <v>34</v>
      </c>
      <c r="N28" s="30">
        <v>2</v>
      </c>
      <c r="O28" s="9">
        <v>2</v>
      </c>
      <c r="P28" s="209"/>
      <c r="Q28" s="35" t="s">
        <v>206</v>
      </c>
      <c r="R28" s="38">
        <v>17</v>
      </c>
      <c r="S28" s="279"/>
      <c r="T28" s="110" t="s">
        <v>207</v>
      </c>
    </row>
    <row r="29" spans="1:21" ht="37.5" customHeight="1">
      <c r="A29" s="192"/>
      <c r="B29" s="285"/>
      <c r="C29" s="168"/>
      <c r="D29" s="168"/>
      <c r="E29" s="4" t="s">
        <v>208</v>
      </c>
      <c r="F29" s="3" t="s">
        <v>28</v>
      </c>
      <c r="G29" s="74" t="s">
        <v>40</v>
      </c>
      <c r="H29" s="3">
        <v>2019</v>
      </c>
      <c r="I29" s="28" t="s">
        <v>209</v>
      </c>
      <c r="J29" s="28" t="s">
        <v>31</v>
      </c>
      <c r="K29" s="6" t="s">
        <v>32</v>
      </c>
      <c r="L29" s="7" t="s">
        <v>210</v>
      </c>
      <c r="M29" s="8" t="s">
        <v>34</v>
      </c>
      <c r="N29" s="65">
        <v>3</v>
      </c>
      <c r="O29" s="67">
        <v>3</v>
      </c>
      <c r="P29" s="209"/>
      <c r="Q29" s="35"/>
      <c r="R29" s="38"/>
      <c r="S29" s="103"/>
    </row>
    <row r="30" spans="1:21" ht="41.25" customHeight="1">
      <c r="A30" s="192"/>
      <c r="B30" s="285"/>
      <c r="C30" s="168"/>
      <c r="D30" s="168"/>
      <c r="E30" s="100" t="s">
        <v>211</v>
      </c>
      <c r="F30" s="3" t="s">
        <v>28</v>
      </c>
      <c r="G30" s="74" t="s">
        <v>184</v>
      </c>
      <c r="H30" s="3">
        <v>2023</v>
      </c>
      <c r="I30" s="28" t="s">
        <v>212</v>
      </c>
      <c r="J30" s="28" t="s">
        <v>31</v>
      </c>
      <c r="K30" s="6" t="s">
        <v>42</v>
      </c>
      <c r="L30" s="7" t="s">
        <v>60</v>
      </c>
      <c r="M30" s="8" t="s">
        <v>34</v>
      </c>
      <c r="N30" s="65">
        <v>2</v>
      </c>
      <c r="O30" s="67"/>
      <c r="P30" s="209"/>
      <c r="Q30" s="36" t="s">
        <v>35</v>
      </c>
      <c r="R30" s="9">
        <v>9</v>
      </c>
      <c r="S30" s="60" t="s">
        <v>180</v>
      </c>
    </row>
    <row r="31" spans="1:21" ht="37.5">
      <c r="A31" s="192"/>
      <c r="B31" s="285"/>
      <c r="C31" s="168"/>
      <c r="D31" s="168"/>
      <c r="E31" s="4" t="s">
        <v>213</v>
      </c>
      <c r="F31" s="3" t="s">
        <v>28</v>
      </c>
      <c r="G31" s="37" t="s">
        <v>46</v>
      </c>
      <c r="H31" s="3">
        <v>2019</v>
      </c>
      <c r="I31" s="3" t="s">
        <v>214</v>
      </c>
      <c r="J31" s="3" t="s">
        <v>31</v>
      </c>
      <c r="K31" s="6" t="s">
        <v>52</v>
      </c>
      <c r="L31" s="7" t="s">
        <v>64</v>
      </c>
      <c r="M31" s="8" t="s">
        <v>34</v>
      </c>
      <c r="N31" s="30">
        <v>3</v>
      </c>
      <c r="O31" s="31">
        <v>3</v>
      </c>
      <c r="P31" s="209"/>
      <c r="Q31" s="36" t="s">
        <v>35</v>
      </c>
      <c r="R31" s="9">
        <v>17</v>
      </c>
      <c r="S31" s="60" t="s">
        <v>215</v>
      </c>
    </row>
    <row r="32" spans="1:21" ht="34.5" customHeight="1">
      <c r="A32" s="190"/>
      <c r="B32" s="266" t="s">
        <v>99</v>
      </c>
      <c r="C32" s="174" t="s">
        <v>66</v>
      </c>
      <c r="D32" s="163" t="s">
        <v>100</v>
      </c>
      <c r="E32" s="280" t="s">
        <v>101</v>
      </c>
      <c r="F32" s="159" t="s">
        <v>28</v>
      </c>
      <c r="G32" s="282" t="s">
        <v>40</v>
      </c>
      <c r="H32" s="159">
        <v>2019</v>
      </c>
      <c r="I32" s="206" t="s">
        <v>102</v>
      </c>
      <c r="J32" s="250" t="s">
        <v>31</v>
      </c>
      <c r="K32" s="298" t="s">
        <v>42</v>
      </c>
      <c r="L32" s="300" t="s">
        <v>216</v>
      </c>
      <c r="M32" s="271" t="s">
        <v>57</v>
      </c>
      <c r="N32" s="302">
        <v>5</v>
      </c>
      <c r="O32" s="304">
        <v>5</v>
      </c>
      <c r="P32" s="213">
        <v>19</v>
      </c>
      <c r="Q32" s="36" t="s">
        <v>35</v>
      </c>
      <c r="R32" s="217">
        <v>18</v>
      </c>
      <c r="S32" s="289" t="s">
        <v>217</v>
      </c>
      <c r="T32" s="48" t="s">
        <v>218</v>
      </c>
      <c r="U32" s="48" t="s">
        <v>219</v>
      </c>
    </row>
    <row r="33" spans="1:21" ht="30" customHeight="1">
      <c r="A33" s="190"/>
      <c r="B33" s="266"/>
      <c r="C33" s="174"/>
      <c r="D33" s="201"/>
      <c r="E33" s="281"/>
      <c r="F33" s="160"/>
      <c r="G33" s="283"/>
      <c r="H33" s="160"/>
      <c r="I33" s="206"/>
      <c r="J33" s="250"/>
      <c r="K33" s="299"/>
      <c r="L33" s="301"/>
      <c r="M33" s="272"/>
      <c r="N33" s="303"/>
      <c r="O33" s="305"/>
      <c r="P33" s="214"/>
      <c r="Q33" s="36" t="s">
        <v>35</v>
      </c>
      <c r="R33" s="218"/>
      <c r="S33" s="290"/>
    </row>
    <row r="34" spans="1:21" ht="60" customHeight="1">
      <c r="A34" s="190"/>
      <c r="B34" s="266"/>
      <c r="C34" s="174"/>
      <c r="D34" s="201"/>
      <c r="E34" s="4" t="s">
        <v>220</v>
      </c>
      <c r="F34" s="3" t="s">
        <v>28</v>
      </c>
      <c r="G34" s="62" t="s">
        <v>50</v>
      </c>
      <c r="H34" s="3">
        <v>2023</v>
      </c>
      <c r="I34" s="3" t="s">
        <v>221</v>
      </c>
      <c r="J34" s="3" t="s">
        <v>31</v>
      </c>
      <c r="K34" s="6" t="s">
        <v>32</v>
      </c>
      <c r="L34" s="12" t="s">
        <v>96</v>
      </c>
      <c r="M34" s="8" t="s">
        <v>34</v>
      </c>
      <c r="N34" s="64">
        <v>3</v>
      </c>
      <c r="O34" s="31">
        <v>3</v>
      </c>
      <c r="P34" s="214"/>
      <c r="Q34" s="36" t="s">
        <v>35</v>
      </c>
      <c r="R34" s="18">
        <v>9</v>
      </c>
      <c r="S34" s="60" t="s">
        <v>193</v>
      </c>
    </row>
    <row r="35" spans="1:21" ht="60" customHeight="1">
      <c r="A35" s="190"/>
      <c r="B35" s="266"/>
      <c r="C35" s="174"/>
      <c r="D35" s="201"/>
      <c r="E35" s="4" t="s">
        <v>222</v>
      </c>
      <c r="F35" s="3" t="s">
        <v>28</v>
      </c>
      <c r="G35" s="5" t="s">
        <v>87</v>
      </c>
      <c r="H35" s="3">
        <v>2019</v>
      </c>
      <c r="I35" s="3" t="s">
        <v>105</v>
      </c>
      <c r="J35" s="3" t="s">
        <v>31</v>
      </c>
      <c r="K35" s="6" t="s">
        <v>32</v>
      </c>
      <c r="L35" s="12" t="s">
        <v>223</v>
      </c>
      <c r="M35" s="8" t="s">
        <v>57</v>
      </c>
      <c r="N35" s="64">
        <v>5</v>
      </c>
      <c r="O35" s="31">
        <v>5</v>
      </c>
      <c r="P35" s="214"/>
      <c r="Q35" s="36" t="s">
        <v>35</v>
      </c>
      <c r="R35" s="18">
        <v>9</v>
      </c>
      <c r="S35" s="60" t="s">
        <v>224</v>
      </c>
      <c r="U35" s="48" t="s">
        <v>225</v>
      </c>
    </row>
    <row r="36" spans="1:21" ht="60" customHeight="1">
      <c r="A36" s="190"/>
      <c r="B36" s="266"/>
      <c r="C36" s="174"/>
      <c r="D36" s="201"/>
      <c r="E36" s="100" t="s">
        <v>226</v>
      </c>
      <c r="F36" s="3" t="s">
        <v>28</v>
      </c>
      <c r="G36" s="5" t="s">
        <v>187</v>
      </c>
      <c r="H36" s="3">
        <v>2023</v>
      </c>
      <c r="I36" s="3" t="s">
        <v>227</v>
      </c>
      <c r="J36" s="3" t="s">
        <v>31</v>
      </c>
      <c r="K36" s="6"/>
      <c r="L36" s="12"/>
      <c r="M36" s="8"/>
      <c r="N36" s="64">
        <v>3</v>
      </c>
      <c r="O36" s="31">
        <v>3</v>
      </c>
      <c r="P36" s="215"/>
      <c r="Q36" s="36"/>
      <c r="R36" s="18"/>
      <c r="S36" s="60"/>
    </row>
    <row r="37" spans="1:21" ht="60" customHeight="1">
      <c r="A37" s="190"/>
      <c r="B37" s="266"/>
      <c r="C37" s="174"/>
      <c r="D37" s="164"/>
      <c r="E37" s="17" t="s">
        <v>228</v>
      </c>
      <c r="F37" s="3" t="s">
        <v>28</v>
      </c>
      <c r="G37" s="14" t="s">
        <v>40</v>
      </c>
      <c r="H37" s="3">
        <v>2019</v>
      </c>
      <c r="I37" s="3" t="s">
        <v>113</v>
      </c>
      <c r="J37" s="3" t="s">
        <v>31</v>
      </c>
      <c r="K37" s="6" t="s">
        <v>52</v>
      </c>
      <c r="L37" s="12" t="s">
        <v>75</v>
      </c>
      <c r="M37" s="8" t="s">
        <v>34</v>
      </c>
      <c r="N37" s="30">
        <v>3</v>
      </c>
      <c r="O37" s="31">
        <v>2</v>
      </c>
      <c r="P37" s="216"/>
      <c r="Q37" s="36" t="s">
        <v>35</v>
      </c>
      <c r="R37" s="18">
        <v>10</v>
      </c>
      <c r="S37" s="60" t="s">
        <v>229</v>
      </c>
    </row>
    <row r="38" spans="1:21" ht="42" customHeight="1">
      <c r="A38" s="190">
        <v>6</v>
      </c>
      <c r="B38" s="294" t="s">
        <v>114</v>
      </c>
      <c r="C38" s="159" t="s">
        <v>25</v>
      </c>
      <c r="D38" s="297" t="s">
        <v>230</v>
      </c>
      <c r="E38" s="40" t="s">
        <v>231</v>
      </c>
      <c r="F38" s="20" t="s">
        <v>28</v>
      </c>
      <c r="G38" s="76" t="s">
        <v>46</v>
      </c>
      <c r="H38" s="20">
        <v>2019</v>
      </c>
      <c r="I38" s="20" t="s">
        <v>232</v>
      </c>
      <c r="J38" s="20" t="s">
        <v>31</v>
      </c>
      <c r="K38" s="43" t="s">
        <v>32</v>
      </c>
      <c r="L38" s="41" t="s">
        <v>233</v>
      </c>
      <c r="M38" s="8" t="s">
        <v>34</v>
      </c>
      <c r="N38" s="77">
        <v>3</v>
      </c>
      <c r="O38" s="26">
        <v>3</v>
      </c>
      <c r="P38" s="198">
        <v>11</v>
      </c>
      <c r="Q38" s="3" t="s">
        <v>35</v>
      </c>
      <c r="R38" s="18">
        <v>17</v>
      </c>
      <c r="S38" s="78" t="s">
        <v>234</v>
      </c>
    </row>
    <row r="39" spans="1:21" ht="42" customHeight="1">
      <c r="A39" s="190"/>
      <c r="B39" s="295"/>
      <c r="C39" s="168"/>
      <c r="D39" s="170"/>
      <c r="E39" s="17" t="s">
        <v>116</v>
      </c>
      <c r="F39" s="3" t="s">
        <v>28</v>
      </c>
      <c r="G39" s="5" t="s">
        <v>87</v>
      </c>
      <c r="H39" s="3">
        <v>2019</v>
      </c>
      <c r="I39" s="3" t="s">
        <v>117</v>
      </c>
      <c r="J39" s="3" t="s">
        <v>31</v>
      </c>
      <c r="K39" s="6" t="s">
        <v>32</v>
      </c>
      <c r="L39" s="12" t="s">
        <v>96</v>
      </c>
      <c r="M39" s="8"/>
      <c r="N39" s="77">
        <v>3</v>
      </c>
      <c r="O39" s="26"/>
      <c r="P39" s="198"/>
      <c r="Q39" s="3"/>
      <c r="R39" s="18"/>
      <c r="S39" s="78"/>
    </row>
    <row r="40" spans="1:21" ht="42" customHeight="1">
      <c r="A40" s="190"/>
      <c r="B40" s="295"/>
      <c r="C40" s="168"/>
      <c r="D40" s="170"/>
      <c r="E40" s="40" t="s">
        <v>68</v>
      </c>
      <c r="F40" s="20" t="s">
        <v>28</v>
      </c>
      <c r="G40" s="20" t="s">
        <v>177</v>
      </c>
      <c r="H40" s="20">
        <v>2023</v>
      </c>
      <c r="I40" s="20" t="s">
        <v>235</v>
      </c>
      <c r="J40" s="20" t="s">
        <v>31</v>
      </c>
      <c r="K40" s="79" t="s">
        <v>32</v>
      </c>
      <c r="L40" s="41" t="s">
        <v>236</v>
      </c>
      <c r="M40" s="8" t="s">
        <v>34</v>
      </c>
      <c r="N40" s="64">
        <v>2</v>
      </c>
      <c r="O40" s="31">
        <v>2</v>
      </c>
      <c r="P40" s="198"/>
      <c r="Q40" s="3" t="s">
        <v>35</v>
      </c>
      <c r="R40" s="18">
        <v>17</v>
      </c>
      <c r="S40" s="78" t="s">
        <v>178</v>
      </c>
      <c r="U40" s="48" t="s">
        <v>237</v>
      </c>
    </row>
    <row r="41" spans="1:21" ht="42" customHeight="1">
      <c r="A41" s="190"/>
      <c r="B41" s="296"/>
      <c r="C41" s="160"/>
      <c r="D41" s="170"/>
      <c r="E41" s="17" t="s">
        <v>123</v>
      </c>
      <c r="F41" s="3" t="s">
        <v>28</v>
      </c>
      <c r="G41" s="29" t="s">
        <v>77</v>
      </c>
      <c r="H41" s="3">
        <v>2019</v>
      </c>
      <c r="I41" s="3" t="s">
        <v>124</v>
      </c>
      <c r="J41" s="3" t="s">
        <v>31</v>
      </c>
      <c r="K41" s="6" t="s">
        <v>52</v>
      </c>
      <c r="L41" s="12" t="s">
        <v>64</v>
      </c>
      <c r="M41" s="8" t="s">
        <v>34</v>
      </c>
      <c r="N41" s="9">
        <v>3</v>
      </c>
      <c r="O41" s="38">
        <v>3</v>
      </c>
      <c r="P41" s="160"/>
      <c r="Q41" s="3" t="s">
        <v>35</v>
      </c>
      <c r="R41" s="9">
        <v>11</v>
      </c>
      <c r="S41" s="78" t="s">
        <v>229</v>
      </c>
    </row>
    <row r="42" spans="1:21" ht="51" customHeight="1">
      <c r="A42" s="190">
        <v>7</v>
      </c>
      <c r="B42" s="266" t="s">
        <v>125</v>
      </c>
      <c r="C42" s="172" t="s">
        <v>25</v>
      </c>
      <c r="D42" s="172" t="s">
        <v>126</v>
      </c>
      <c r="E42" s="17" t="s">
        <v>127</v>
      </c>
      <c r="F42" s="3" t="s">
        <v>28</v>
      </c>
      <c r="G42" s="29" t="s">
        <v>77</v>
      </c>
      <c r="H42" s="3">
        <v>2019</v>
      </c>
      <c r="I42" s="3" t="s">
        <v>128</v>
      </c>
      <c r="J42" s="3" t="s">
        <v>31</v>
      </c>
      <c r="K42" s="6" t="s">
        <v>32</v>
      </c>
      <c r="L42" s="12" t="s">
        <v>60</v>
      </c>
      <c r="M42" s="8" t="s">
        <v>34</v>
      </c>
      <c r="N42" s="81">
        <v>2</v>
      </c>
      <c r="O42" s="81">
        <v>2</v>
      </c>
      <c r="P42" s="172">
        <v>8</v>
      </c>
      <c r="Q42" s="3" t="s">
        <v>129</v>
      </c>
      <c r="R42" s="9">
        <v>11</v>
      </c>
      <c r="S42" s="82" t="s">
        <v>238</v>
      </c>
    </row>
    <row r="43" spans="1:21" ht="45" customHeight="1">
      <c r="A43" s="190"/>
      <c r="B43" s="266"/>
      <c r="C43" s="172"/>
      <c r="D43" s="172"/>
      <c r="E43" s="314" t="s">
        <v>92</v>
      </c>
      <c r="F43" s="159" t="s">
        <v>28</v>
      </c>
      <c r="G43" s="159" t="s">
        <v>177</v>
      </c>
      <c r="H43" s="159">
        <v>2023</v>
      </c>
      <c r="I43" s="172" t="s">
        <v>93</v>
      </c>
      <c r="J43" s="172" t="s">
        <v>31</v>
      </c>
      <c r="K43" s="309" t="s">
        <v>42</v>
      </c>
      <c r="L43" s="269" t="s">
        <v>239</v>
      </c>
      <c r="M43" s="8" t="s">
        <v>34</v>
      </c>
      <c r="N43" s="311">
        <v>3</v>
      </c>
      <c r="O43" s="195">
        <v>3</v>
      </c>
      <c r="P43" s="172"/>
      <c r="Q43" s="3" t="s">
        <v>35</v>
      </c>
      <c r="R43" s="312"/>
      <c r="S43" s="306" t="s">
        <v>178</v>
      </c>
    </row>
    <row r="44" spans="1:21" ht="45" customHeight="1">
      <c r="A44" s="190"/>
      <c r="B44" s="266"/>
      <c r="C44" s="172"/>
      <c r="D44" s="172"/>
      <c r="E44" s="314"/>
      <c r="F44" s="160"/>
      <c r="G44" s="160"/>
      <c r="H44" s="160"/>
      <c r="I44" s="172"/>
      <c r="J44" s="172"/>
      <c r="K44" s="310"/>
      <c r="L44" s="293"/>
      <c r="M44" s="8" t="s">
        <v>34</v>
      </c>
      <c r="N44" s="172"/>
      <c r="O44" s="196"/>
      <c r="P44" s="172"/>
      <c r="Q44" s="3" t="s">
        <v>35</v>
      </c>
      <c r="R44" s="313"/>
      <c r="S44" s="307"/>
    </row>
    <row r="45" spans="1:21" ht="38.25" customHeight="1">
      <c r="A45" s="190"/>
      <c r="B45" s="266"/>
      <c r="C45" s="172"/>
      <c r="D45" s="172"/>
      <c r="E45" s="17" t="s">
        <v>131</v>
      </c>
      <c r="F45" s="3" t="s">
        <v>28</v>
      </c>
      <c r="G45" s="37" t="s">
        <v>46</v>
      </c>
      <c r="H45" s="3">
        <v>2019</v>
      </c>
      <c r="I45" s="3" t="s">
        <v>240</v>
      </c>
      <c r="J45" s="3" t="s">
        <v>31</v>
      </c>
      <c r="K45" s="6" t="s">
        <v>52</v>
      </c>
      <c r="L45" s="12" t="s">
        <v>96</v>
      </c>
      <c r="M45" s="8" t="s">
        <v>34</v>
      </c>
      <c r="N45" s="9">
        <v>3</v>
      </c>
      <c r="O45" s="9">
        <v>3</v>
      </c>
      <c r="P45" s="172"/>
      <c r="Q45" s="3" t="s">
        <v>35</v>
      </c>
      <c r="R45" s="9">
        <v>17</v>
      </c>
      <c r="S45" s="83" t="s">
        <v>217</v>
      </c>
    </row>
    <row r="46" spans="1:21" ht="33" customHeight="1">
      <c r="A46" s="248"/>
      <c r="B46" s="249"/>
      <c r="C46" s="249"/>
      <c r="D46" s="249"/>
      <c r="E46" s="249"/>
      <c r="F46" s="249"/>
      <c r="G46" s="249"/>
      <c r="H46" s="249"/>
      <c r="I46" s="249"/>
      <c r="J46" s="249"/>
      <c r="K46" s="249"/>
      <c r="L46" s="249"/>
      <c r="M46" s="249"/>
      <c r="N46" s="249"/>
      <c r="O46" s="249"/>
      <c r="P46" s="249"/>
      <c r="Q46" s="249"/>
      <c r="R46" s="249"/>
      <c r="S46" s="84"/>
    </row>
    <row r="47" spans="1:21" ht="75" customHeight="1">
      <c r="A47" s="1">
        <v>1</v>
      </c>
      <c r="B47" s="191" t="s">
        <v>241</v>
      </c>
      <c r="C47" s="3" t="s">
        <v>25</v>
      </c>
      <c r="D47" s="3"/>
      <c r="E47" s="4" t="s">
        <v>97</v>
      </c>
      <c r="F47" s="3" t="s">
        <v>28</v>
      </c>
      <c r="G47" s="5" t="s">
        <v>87</v>
      </c>
      <c r="H47" s="3">
        <v>2019</v>
      </c>
      <c r="I47" s="3" t="s">
        <v>98</v>
      </c>
      <c r="J47" s="3" t="s">
        <v>31</v>
      </c>
      <c r="K47" s="6" t="s">
        <v>42</v>
      </c>
      <c r="L47" s="7" t="s">
        <v>150</v>
      </c>
      <c r="M47" s="8" t="s">
        <v>34</v>
      </c>
      <c r="N47" s="9">
        <v>3</v>
      </c>
      <c r="O47" s="9">
        <v>3</v>
      </c>
      <c r="P47" s="3">
        <v>3</v>
      </c>
      <c r="Q47" s="3" t="s">
        <v>35</v>
      </c>
      <c r="R47" s="9">
        <v>13</v>
      </c>
      <c r="S47" s="10" t="s">
        <v>229</v>
      </c>
    </row>
    <row r="48" spans="1:21" ht="75" customHeight="1">
      <c r="A48" s="1"/>
      <c r="B48" s="251"/>
      <c r="C48" s="3"/>
      <c r="D48" s="3"/>
      <c r="E48" s="17" t="s">
        <v>58</v>
      </c>
      <c r="F48" s="3" t="s">
        <v>28</v>
      </c>
      <c r="G48" s="62" t="s">
        <v>50</v>
      </c>
      <c r="H48" s="3">
        <v>2023</v>
      </c>
      <c r="I48" s="3" t="s">
        <v>242</v>
      </c>
      <c r="J48" s="3" t="s">
        <v>31</v>
      </c>
      <c r="K48" s="6" t="s">
        <v>42</v>
      </c>
      <c r="L48" s="12" t="s">
        <v>163</v>
      </c>
      <c r="M48" s="8" t="s">
        <v>34</v>
      </c>
      <c r="N48" s="30">
        <v>2</v>
      </c>
      <c r="O48" s="9"/>
      <c r="P48" s="3"/>
      <c r="Q48" s="3"/>
      <c r="R48" s="9"/>
      <c r="S48" s="108"/>
    </row>
    <row r="49" spans="1:21" ht="69.75" customHeight="1">
      <c r="A49" s="308">
        <v>2</v>
      </c>
      <c r="B49" s="190" t="s">
        <v>133</v>
      </c>
      <c r="C49" s="172" t="s">
        <v>25</v>
      </c>
      <c r="D49" s="172" t="s">
        <v>134</v>
      </c>
      <c r="E49" s="4" t="s">
        <v>243</v>
      </c>
      <c r="F49" s="3" t="s">
        <v>28</v>
      </c>
      <c r="G49" s="11" t="s">
        <v>187</v>
      </c>
      <c r="H49" s="3">
        <v>2019</v>
      </c>
      <c r="I49" s="3" t="s">
        <v>244</v>
      </c>
      <c r="J49" s="3" t="s">
        <v>31</v>
      </c>
      <c r="K49" s="6" t="s">
        <v>32</v>
      </c>
      <c r="L49" s="12" t="s">
        <v>96</v>
      </c>
      <c r="M49" s="8" t="s">
        <v>34</v>
      </c>
      <c r="N49" s="9">
        <v>3</v>
      </c>
      <c r="O49" s="9">
        <v>3</v>
      </c>
      <c r="P49" s="172">
        <v>6</v>
      </c>
      <c r="Q49" s="3" t="s">
        <v>35</v>
      </c>
      <c r="R49" s="9">
        <v>13</v>
      </c>
      <c r="S49" s="13" t="s">
        <v>245</v>
      </c>
    </row>
    <row r="50" spans="1:21" ht="81" customHeight="1">
      <c r="A50" s="308"/>
      <c r="B50" s="190"/>
      <c r="C50" s="172"/>
      <c r="D50" s="172"/>
      <c r="E50" s="4" t="s">
        <v>135</v>
      </c>
      <c r="F50" s="3" t="s">
        <v>28</v>
      </c>
      <c r="G50" s="14" t="s">
        <v>40</v>
      </c>
      <c r="H50" s="3">
        <v>2019</v>
      </c>
      <c r="I50" s="3" t="s">
        <v>136</v>
      </c>
      <c r="J50" s="3" t="s">
        <v>31</v>
      </c>
      <c r="K50" s="6" t="s">
        <v>52</v>
      </c>
      <c r="L50" s="12" t="s">
        <v>96</v>
      </c>
      <c r="M50" s="8" t="s">
        <v>34</v>
      </c>
      <c r="N50" s="9">
        <v>3</v>
      </c>
      <c r="O50" s="9">
        <v>3</v>
      </c>
      <c r="P50" s="172"/>
      <c r="Q50" s="3" t="s">
        <v>35</v>
      </c>
      <c r="R50" s="9">
        <v>18</v>
      </c>
      <c r="S50" s="15" t="s">
        <v>229</v>
      </c>
    </row>
    <row r="51" spans="1:21" ht="71.25" customHeight="1">
      <c r="A51" s="1">
        <v>3</v>
      </c>
      <c r="B51" s="191" t="s">
        <v>246</v>
      </c>
      <c r="C51" s="159" t="s">
        <v>25</v>
      </c>
      <c r="D51" s="159" t="s">
        <v>247</v>
      </c>
      <c r="E51" s="4" t="s">
        <v>248</v>
      </c>
      <c r="F51" s="3" t="s">
        <v>28</v>
      </c>
      <c r="G51" s="11" t="s">
        <v>187</v>
      </c>
      <c r="H51" s="3">
        <v>2019</v>
      </c>
      <c r="I51" s="3" t="s">
        <v>249</v>
      </c>
      <c r="J51" s="3" t="s">
        <v>31</v>
      </c>
      <c r="K51" s="6" t="s">
        <v>42</v>
      </c>
      <c r="L51" s="12" t="s">
        <v>150</v>
      </c>
      <c r="M51" s="8" t="s">
        <v>34</v>
      </c>
      <c r="N51" s="9">
        <v>3</v>
      </c>
      <c r="O51" s="9">
        <v>3</v>
      </c>
      <c r="P51" s="3">
        <v>3</v>
      </c>
      <c r="Q51" s="3" t="s">
        <v>35</v>
      </c>
      <c r="R51" s="9">
        <v>9</v>
      </c>
      <c r="S51" s="16" t="s">
        <v>55</v>
      </c>
    </row>
    <row r="52" spans="1:21" ht="71.25" customHeight="1">
      <c r="A52" s="1"/>
      <c r="B52" s="192"/>
      <c r="C52" s="168"/>
      <c r="D52" s="168"/>
      <c r="E52" s="4" t="s">
        <v>250</v>
      </c>
      <c r="F52" s="3" t="s">
        <v>28</v>
      </c>
      <c r="G52" s="5" t="s">
        <v>87</v>
      </c>
      <c r="H52" s="3">
        <v>2019</v>
      </c>
      <c r="I52" s="3" t="s">
        <v>251</v>
      </c>
      <c r="J52" s="3" t="s">
        <v>31</v>
      </c>
      <c r="K52" s="6" t="s">
        <v>52</v>
      </c>
      <c r="L52" s="12" t="s">
        <v>75</v>
      </c>
      <c r="M52" s="8" t="s">
        <v>34</v>
      </c>
      <c r="N52" s="9">
        <v>3</v>
      </c>
      <c r="O52" s="38">
        <v>3</v>
      </c>
      <c r="P52" s="3"/>
      <c r="Q52" s="3"/>
      <c r="R52" s="9"/>
      <c r="S52" s="16"/>
    </row>
    <row r="53" spans="1:21" ht="71.25" customHeight="1">
      <c r="A53" s="1"/>
      <c r="B53" s="251"/>
      <c r="C53" s="160"/>
      <c r="D53" s="160"/>
      <c r="E53" s="105" t="s">
        <v>252</v>
      </c>
      <c r="F53" s="20" t="s">
        <v>28</v>
      </c>
      <c r="G53" s="76" t="s">
        <v>184</v>
      </c>
      <c r="H53" s="20">
        <v>2023</v>
      </c>
      <c r="I53" s="20" t="s">
        <v>253</v>
      </c>
      <c r="J53" s="20" t="s">
        <v>31</v>
      </c>
      <c r="K53" s="6"/>
      <c r="L53" s="12"/>
      <c r="M53" s="8"/>
      <c r="N53" s="9"/>
      <c r="O53" s="18"/>
      <c r="P53" s="3"/>
      <c r="Q53" s="3"/>
      <c r="R53" s="9"/>
      <c r="S53" s="16"/>
    </row>
    <row r="54" spans="1:21" ht="71.25" customHeight="1">
      <c r="A54" s="1"/>
      <c r="B54" s="191" t="s">
        <v>137</v>
      </c>
      <c r="C54" s="159" t="s">
        <v>66</v>
      </c>
      <c r="D54" s="159" t="s">
        <v>138</v>
      </c>
      <c r="E54" s="325" t="s">
        <v>254</v>
      </c>
      <c r="F54" s="159" t="s">
        <v>28</v>
      </c>
      <c r="G54" s="291" t="s">
        <v>46</v>
      </c>
      <c r="H54" s="159">
        <v>2019</v>
      </c>
      <c r="I54" s="159" t="s">
        <v>255</v>
      </c>
      <c r="J54" s="159" t="s">
        <v>31</v>
      </c>
      <c r="K54" s="267" t="s">
        <v>42</v>
      </c>
      <c r="L54" s="269" t="s">
        <v>33</v>
      </c>
      <c r="M54" s="271" t="s">
        <v>57</v>
      </c>
      <c r="N54" s="256">
        <v>3</v>
      </c>
      <c r="O54" s="258">
        <v>5</v>
      </c>
      <c r="P54" s="3"/>
      <c r="Q54" s="3"/>
      <c r="R54" s="9"/>
      <c r="S54" s="16"/>
    </row>
    <row r="55" spans="1:21" ht="71.25" customHeight="1">
      <c r="A55" s="1"/>
      <c r="B55" s="192"/>
      <c r="C55" s="168"/>
      <c r="D55" s="168"/>
      <c r="E55" s="326"/>
      <c r="F55" s="160"/>
      <c r="G55" s="292"/>
      <c r="H55" s="160"/>
      <c r="I55" s="160"/>
      <c r="J55" s="160"/>
      <c r="K55" s="268"/>
      <c r="L55" s="293"/>
      <c r="M55" s="272"/>
      <c r="N55" s="257"/>
      <c r="O55" s="274"/>
      <c r="P55" s="3"/>
      <c r="Q55" s="3"/>
      <c r="R55" s="9"/>
      <c r="S55" s="16"/>
    </row>
    <row r="56" spans="1:21" ht="71.25" customHeight="1">
      <c r="A56" s="1"/>
      <c r="B56" s="192"/>
      <c r="C56" s="168"/>
      <c r="D56" s="168"/>
      <c r="E56" s="253"/>
      <c r="F56" s="28" t="s">
        <v>28</v>
      </c>
      <c r="G56" s="72" t="s">
        <v>46</v>
      </c>
      <c r="H56" s="28">
        <v>2019</v>
      </c>
      <c r="I56" s="3" t="s">
        <v>255</v>
      </c>
      <c r="J56" s="3" t="s">
        <v>31</v>
      </c>
      <c r="K56" s="45" t="s">
        <v>42</v>
      </c>
      <c r="L56" s="46" t="s">
        <v>236</v>
      </c>
      <c r="M56" s="47" t="s">
        <v>57</v>
      </c>
      <c r="N56" s="30">
        <v>2</v>
      </c>
      <c r="O56" s="259"/>
      <c r="P56" s="3"/>
      <c r="Q56" s="3"/>
      <c r="R56" s="9"/>
      <c r="S56" s="16"/>
    </row>
    <row r="57" spans="1:21" ht="63" customHeight="1">
      <c r="A57" s="1">
        <v>4</v>
      </c>
      <c r="B57" s="251"/>
      <c r="C57" s="160"/>
      <c r="D57" s="160"/>
      <c r="E57" s="4" t="s">
        <v>256</v>
      </c>
      <c r="F57" s="21" t="s">
        <v>257</v>
      </c>
      <c r="G57" s="80" t="s">
        <v>87</v>
      </c>
      <c r="H57" s="3">
        <v>2019</v>
      </c>
      <c r="I57" s="3" t="s">
        <v>119</v>
      </c>
      <c r="J57" s="3" t="s">
        <v>31</v>
      </c>
      <c r="K57" s="6" t="s">
        <v>42</v>
      </c>
      <c r="L57" s="12" t="s">
        <v>120</v>
      </c>
      <c r="M57" s="8" t="s">
        <v>34</v>
      </c>
      <c r="N57" s="9">
        <v>3</v>
      </c>
      <c r="O57" s="18">
        <v>3</v>
      </c>
      <c r="P57" s="3">
        <v>3</v>
      </c>
      <c r="Q57" s="3"/>
      <c r="R57" s="9">
        <v>9</v>
      </c>
      <c r="S57" s="10" t="s">
        <v>258</v>
      </c>
    </row>
    <row r="58" spans="1:21" s="50" customFormat="1" ht="43.5" customHeight="1">
      <c r="A58" s="191">
        <v>5</v>
      </c>
      <c r="B58" s="191" t="s">
        <v>151</v>
      </c>
      <c r="C58" s="159" t="s">
        <v>152</v>
      </c>
      <c r="D58" s="159" t="s">
        <v>259</v>
      </c>
      <c r="E58" s="4" t="s">
        <v>156</v>
      </c>
      <c r="F58" s="3" t="s">
        <v>28</v>
      </c>
      <c r="G58" s="21" t="s">
        <v>204</v>
      </c>
      <c r="H58" s="3">
        <v>2023</v>
      </c>
      <c r="I58" s="22" t="s">
        <v>157</v>
      </c>
      <c r="J58" s="22" t="s">
        <v>31</v>
      </c>
      <c r="K58" s="23" t="s">
        <v>52</v>
      </c>
      <c r="L58" s="24" t="s">
        <v>142</v>
      </c>
      <c r="M58" s="8" t="s">
        <v>34</v>
      </c>
      <c r="N58" s="25">
        <v>2</v>
      </c>
      <c r="O58" s="26">
        <v>2</v>
      </c>
      <c r="P58" s="287">
        <v>5</v>
      </c>
      <c r="Q58" s="3" t="s">
        <v>35</v>
      </c>
      <c r="R58" s="9">
        <v>17</v>
      </c>
      <c r="S58" s="27" t="s">
        <v>260</v>
      </c>
      <c r="U58" s="50" t="s">
        <v>261</v>
      </c>
    </row>
    <row r="59" spans="1:21" s="50" customFormat="1" ht="89.25" customHeight="1">
      <c r="A59" s="239"/>
      <c r="B59" s="251"/>
      <c r="C59" s="160"/>
      <c r="D59" s="160"/>
      <c r="E59" s="17" t="s">
        <v>154</v>
      </c>
      <c r="F59" s="3" t="s">
        <v>28</v>
      </c>
      <c r="G59" s="29" t="s">
        <v>77</v>
      </c>
      <c r="H59" s="3">
        <v>2019</v>
      </c>
      <c r="I59" s="3" t="s">
        <v>155</v>
      </c>
      <c r="J59" s="3" t="s">
        <v>31</v>
      </c>
      <c r="K59" s="6" t="s">
        <v>42</v>
      </c>
      <c r="L59" s="12" t="s">
        <v>142</v>
      </c>
      <c r="M59" s="8" t="s">
        <v>34</v>
      </c>
      <c r="N59" s="30">
        <v>2</v>
      </c>
      <c r="O59" s="31">
        <v>3</v>
      </c>
      <c r="P59" s="288"/>
      <c r="Q59" s="3" t="s">
        <v>35</v>
      </c>
      <c r="R59" s="9">
        <v>11</v>
      </c>
      <c r="S59" s="32" t="s">
        <v>262</v>
      </c>
    </row>
    <row r="60" spans="1:21" s="50" customFormat="1" ht="89.25" customHeight="1">
      <c r="A60" s="33">
        <v>6</v>
      </c>
      <c r="B60" s="190" t="s">
        <v>263</v>
      </c>
      <c r="C60" s="172" t="s">
        <v>25</v>
      </c>
      <c r="D60" s="172" t="s">
        <v>264</v>
      </c>
      <c r="E60" s="17" t="s">
        <v>139</v>
      </c>
      <c r="F60" s="3" t="s">
        <v>28</v>
      </c>
      <c r="G60" s="29" t="s">
        <v>77</v>
      </c>
      <c r="H60" s="3">
        <v>2019</v>
      </c>
      <c r="I60" s="3" t="s">
        <v>140</v>
      </c>
      <c r="J60" s="3" t="s">
        <v>31</v>
      </c>
      <c r="K60" s="6" t="s">
        <v>32</v>
      </c>
      <c r="L60" s="12" t="s">
        <v>150</v>
      </c>
      <c r="M60" s="8" t="s">
        <v>34</v>
      </c>
      <c r="N60" s="30">
        <v>2</v>
      </c>
      <c r="O60" s="34">
        <v>2</v>
      </c>
      <c r="P60" s="35">
        <v>2</v>
      </c>
      <c r="Q60" s="36" t="s">
        <v>265</v>
      </c>
      <c r="R60" s="9">
        <v>11</v>
      </c>
      <c r="S60" s="10" t="s">
        <v>266</v>
      </c>
    </row>
    <row r="61" spans="1:21" s="50" customFormat="1" ht="89.25" customHeight="1">
      <c r="A61" s="106"/>
      <c r="B61" s="190"/>
      <c r="C61" s="172"/>
      <c r="D61" s="172"/>
      <c r="E61" s="252" t="s">
        <v>146</v>
      </c>
      <c r="F61" s="323" t="s">
        <v>147</v>
      </c>
      <c r="G61" s="319" t="s">
        <v>77</v>
      </c>
      <c r="H61" s="159">
        <v>2019</v>
      </c>
      <c r="I61" s="204" t="s">
        <v>148</v>
      </c>
      <c r="J61" s="159" t="s">
        <v>31</v>
      </c>
      <c r="K61" s="267" t="s">
        <v>267</v>
      </c>
      <c r="L61" s="269" t="s">
        <v>268</v>
      </c>
      <c r="M61" s="271" t="s">
        <v>34</v>
      </c>
      <c r="N61" s="312">
        <v>3</v>
      </c>
      <c r="O61" s="312">
        <v>3</v>
      </c>
      <c r="P61" s="159">
        <v>3</v>
      </c>
      <c r="Q61" s="159" t="s">
        <v>265</v>
      </c>
      <c r="R61" s="312">
        <v>11</v>
      </c>
      <c r="S61" s="317" t="s">
        <v>266</v>
      </c>
    </row>
    <row r="62" spans="1:21" s="50" customFormat="1" ht="89.25" customHeight="1" thickBot="1">
      <c r="A62" s="106"/>
      <c r="B62" s="190"/>
      <c r="C62" s="172"/>
      <c r="D62" s="172"/>
      <c r="E62" s="262"/>
      <c r="F62" s="324"/>
      <c r="G62" s="320"/>
      <c r="H62" s="160"/>
      <c r="I62" s="205"/>
      <c r="J62" s="160"/>
      <c r="K62" s="268"/>
      <c r="L62" s="293"/>
      <c r="M62" s="272"/>
      <c r="N62" s="313"/>
      <c r="O62" s="313"/>
      <c r="P62" s="160"/>
      <c r="Q62" s="160"/>
      <c r="R62" s="313"/>
      <c r="S62" s="318"/>
    </row>
    <row r="63" spans="1:21" s="50" customFormat="1" ht="44.25" customHeight="1">
      <c r="A63" s="327">
        <v>7</v>
      </c>
      <c r="B63" s="329" t="s">
        <v>159</v>
      </c>
      <c r="C63" s="210" t="s">
        <v>25</v>
      </c>
      <c r="D63" s="199" t="s">
        <v>160</v>
      </c>
      <c r="E63" s="17" t="s">
        <v>161</v>
      </c>
      <c r="F63" s="3" t="s">
        <v>28</v>
      </c>
      <c r="G63" s="37" t="s">
        <v>46</v>
      </c>
      <c r="H63" s="3">
        <v>2019</v>
      </c>
      <c r="I63" s="3" t="s">
        <v>269</v>
      </c>
      <c r="J63" s="3" t="s">
        <v>31</v>
      </c>
      <c r="K63" s="6" t="s">
        <v>42</v>
      </c>
      <c r="L63" s="12" t="s">
        <v>150</v>
      </c>
      <c r="M63" s="8" t="s">
        <v>34</v>
      </c>
      <c r="N63" s="9">
        <v>3</v>
      </c>
      <c r="O63" s="38">
        <v>3</v>
      </c>
      <c r="P63" s="159">
        <v>6</v>
      </c>
      <c r="Q63" s="3" t="s">
        <v>35</v>
      </c>
      <c r="R63" s="9">
        <v>17</v>
      </c>
      <c r="S63" s="10" t="s">
        <v>258</v>
      </c>
      <c r="U63" s="50" t="s">
        <v>270</v>
      </c>
    </row>
    <row r="64" spans="1:21" s="50" customFormat="1" ht="45.75" customHeight="1">
      <c r="A64" s="328"/>
      <c r="B64" s="308"/>
      <c r="C64" s="228"/>
      <c r="D64" s="229"/>
      <c r="E64" s="17" t="s">
        <v>164</v>
      </c>
      <c r="F64" s="3" t="s">
        <v>28</v>
      </c>
      <c r="G64" s="14" t="s">
        <v>112</v>
      </c>
      <c r="H64" s="3">
        <v>2019</v>
      </c>
      <c r="I64" s="3" t="s">
        <v>165</v>
      </c>
      <c r="J64" s="3" t="s">
        <v>31</v>
      </c>
      <c r="K64" s="6" t="s">
        <v>52</v>
      </c>
      <c r="L64" s="12" t="s">
        <v>150</v>
      </c>
      <c r="M64" s="8" t="s">
        <v>34</v>
      </c>
      <c r="N64" s="9">
        <v>3</v>
      </c>
      <c r="O64" s="9">
        <v>3</v>
      </c>
      <c r="P64" s="160"/>
      <c r="Q64" s="3" t="s">
        <v>35</v>
      </c>
      <c r="R64" s="9">
        <v>18</v>
      </c>
      <c r="S64" s="27" t="s">
        <v>55</v>
      </c>
    </row>
    <row r="65" spans="1:19" ht="56.25" customHeight="1">
      <c r="A65" s="1">
        <v>8</v>
      </c>
      <c r="B65" s="19" t="s">
        <v>271</v>
      </c>
      <c r="C65" s="20" t="s">
        <v>25</v>
      </c>
      <c r="D65" s="20" t="s">
        <v>272</v>
      </c>
      <c r="E65" s="42" t="s">
        <v>273</v>
      </c>
      <c r="F65" s="20" t="s">
        <v>28</v>
      </c>
      <c r="G65" s="63" t="s">
        <v>187</v>
      </c>
      <c r="H65" s="20">
        <v>2019</v>
      </c>
      <c r="I65" s="20" t="s">
        <v>274</v>
      </c>
      <c r="J65" s="20" t="s">
        <v>31</v>
      </c>
      <c r="K65" s="43" t="s">
        <v>32</v>
      </c>
      <c r="L65" s="41" t="s">
        <v>150</v>
      </c>
      <c r="M65" s="44" t="s">
        <v>34</v>
      </c>
      <c r="N65" s="18">
        <v>3</v>
      </c>
      <c r="O65" s="18">
        <v>3</v>
      </c>
      <c r="P65" s="20">
        <v>3</v>
      </c>
      <c r="Q65" s="20" t="s">
        <v>35</v>
      </c>
      <c r="R65" s="18">
        <v>13</v>
      </c>
      <c r="S65" s="15" t="s">
        <v>217</v>
      </c>
    </row>
    <row r="66" spans="1:19" ht="77.25" customHeight="1">
      <c r="A66" s="39">
        <v>9</v>
      </c>
      <c r="B66" s="69" t="s">
        <v>275</v>
      </c>
      <c r="C66" s="3" t="s">
        <v>25</v>
      </c>
      <c r="D66" s="3" t="s">
        <v>276</v>
      </c>
      <c r="E66" s="17" t="s">
        <v>86</v>
      </c>
      <c r="F66" s="3" t="s">
        <v>28</v>
      </c>
      <c r="G66" s="5" t="s">
        <v>87</v>
      </c>
      <c r="H66" s="3">
        <v>2019</v>
      </c>
      <c r="I66" s="3" t="s">
        <v>277</v>
      </c>
      <c r="J66" s="3" t="s">
        <v>31</v>
      </c>
      <c r="K66" s="6" t="s">
        <v>32</v>
      </c>
      <c r="L66" s="12" t="s">
        <v>150</v>
      </c>
      <c r="M66" s="8" t="s">
        <v>34</v>
      </c>
      <c r="N66" s="9">
        <v>3</v>
      </c>
      <c r="O66" s="9">
        <v>3</v>
      </c>
      <c r="P66" s="3">
        <v>3</v>
      </c>
      <c r="Q66" s="3" t="s">
        <v>35</v>
      </c>
      <c r="R66" s="9">
        <v>9</v>
      </c>
      <c r="S66" s="107" t="s">
        <v>278</v>
      </c>
    </row>
    <row r="67" spans="1:19" s="50" customFormat="1" ht="63" customHeight="1">
      <c r="A67" s="321">
        <v>10</v>
      </c>
      <c r="B67" s="192"/>
      <c r="C67" s="168"/>
      <c r="D67" s="168"/>
    </row>
    <row r="68" spans="1:19" s="50" customFormat="1">
      <c r="A68" s="322"/>
      <c r="B68" s="251"/>
      <c r="C68" s="160"/>
      <c r="D68" s="160"/>
    </row>
    <row r="69" spans="1:19" ht="105.75" customHeight="1">
      <c r="B69" s="85"/>
    </row>
    <row r="70" spans="1:19" ht="15.75" thickBot="1"/>
    <row r="71" spans="1:19" ht="23.25" customHeight="1" thickBot="1">
      <c r="A71" s="235"/>
      <c r="B71" s="235"/>
      <c r="C71" s="235"/>
      <c r="D71" s="236" t="s">
        <v>166</v>
      </c>
      <c r="E71" s="237"/>
      <c r="F71" s="238" t="s">
        <v>167</v>
      </c>
      <c r="G71" s="225"/>
      <c r="H71" s="225"/>
      <c r="I71" s="225"/>
      <c r="J71" s="225"/>
      <c r="K71" s="225"/>
      <c r="L71" s="223"/>
      <c r="M71" s="55"/>
    </row>
    <row r="72" spans="1:19" ht="24.75" customHeight="1" thickBot="1">
      <c r="A72" s="230"/>
      <c r="B72" s="230"/>
      <c r="C72" s="230"/>
      <c r="D72" s="236" t="s">
        <v>168</v>
      </c>
      <c r="E72" s="237"/>
      <c r="F72" s="224" t="s">
        <v>169</v>
      </c>
      <c r="G72" s="225"/>
      <c r="H72" s="225"/>
      <c r="I72" s="225"/>
      <c r="J72" s="225"/>
      <c r="K72" s="225"/>
      <c r="L72" s="223"/>
      <c r="M72" s="55"/>
    </row>
    <row r="73" spans="1:19">
      <c r="D73" s="87"/>
      <c r="E73" s="88"/>
      <c r="F73" s="89"/>
      <c r="L73" s="90"/>
    </row>
    <row r="74" spans="1:19">
      <c r="D74" s="91"/>
      <c r="E74" s="92"/>
      <c r="L74" s="90"/>
    </row>
    <row r="75" spans="1:19">
      <c r="D75" s="91"/>
      <c r="E75" s="92"/>
      <c r="F75" s="93"/>
      <c r="L75" s="90"/>
    </row>
    <row r="76" spans="1:19">
      <c r="D76" s="91"/>
      <c r="E76" s="92"/>
      <c r="F76" s="93"/>
      <c r="L76" s="90"/>
    </row>
    <row r="77" spans="1:19" ht="16.5" thickBot="1">
      <c r="D77" s="94"/>
      <c r="E77" s="95"/>
      <c r="F77" s="96"/>
      <c r="L77" s="90"/>
      <c r="N77" s="97"/>
      <c r="O77" s="97"/>
      <c r="P77" s="97"/>
      <c r="Q77" s="97"/>
      <c r="R77" s="97"/>
    </row>
    <row r="78" spans="1:19" ht="19.5" thickBot="1">
      <c r="A78" s="235"/>
      <c r="B78" s="235"/>
      <c r="C78" s="235"/>
      <c r="D78" s="222" t="s">
        <v>170</v>
      </c>
      <c r="E78" s="223"/>
      <c r="F78" s="224" t="s">
        <v>170</v>
      </c>
      <c r="G78" s="225"/>
      <c r="H78" s="225"/>
      <c r="I78" s="225"/>
      <c r="J78" s="225"/>
      <c r="K78" s="225"/>
      <c r="L78" s="223"/>
      <c r="M78" s="55"/>
      <c r="N78" s="97"/>
      <c r="O78" s="97"/>
      <c r="P78" s="97"/>
      <c r="Q78" s="97"/>
      <c r="R78" s="97"/>
    </row>
    <row r="79" spans="1:19" ht="19.5" thickBot="1">
      <c r="A79" s="230"/>
      <c r="B79" s="230"/>
      <c r="C79" s="230"/>
      <c r="D79" s="315" t="s">
        <v>279</v>
      </c>
      <c r="E79" s="232"/>
      <c r="F79" s="316" t="s">
        <v>280</v>
      </c>
      <c r="G79" s="316"/>
      <c r="H79" s="316"/>
      <c r="I79" s="316"/>
      <c r="J79" s="316"/>
      <c r="K79" s="316"/>
      <c r="L79" s="232"/>
      <c r="M79" s="86"/>
      <c r="N79" s="97"/>
      <c r="O79" s="97"/>
      <c r="P79" s="97"/>
      <c r="Q79" s="97"/>
      <c r="R79" s="97"/>
    </row>
    <row r="80" spans="1:19" ht="15.75">
      <c r="N80" s="97"/>
      <c r="O80" s="97"/>
      <c r="P80" s="97"/>
      <c r="Q80" s="97"/>
      <c r="R80" s="97"/>
    </row>
    <row r="81" spans="5:19" ht="15.75">
      <c r="N81" s="97"/>
      <c r="O81" s="97"/>
      <c r="P81" s="97"/>
      <c r="Q81" s="97"/>
      <c r="R81" s="97"/>
    </row>
    <row r="82" spans="5:19" s="50" customFormat="1" ht="30" customHeight="1">
      <c r="E82" s="98"/>
      <c r="S82" s="99"/>
    </row>
    <row r="83" spans="5:19" s="50" customFormat="1" ht="21.95" customHeight="1">
      <c r="E83" s="98"/>
      <c r="S83" s="99"/>
    </row>
    <row r="84" spans="5:19" s="50" customFormat="1" ht="21.95" customHeight="1">
      <c r="E84" s="98"/>
      <c r="N84" s="55"/>
      <c r="O84" s="55"/>
      <c r="P84" s="55"/>
      <c r="Q84" s="55"/>
      <c r="R84" s="55"/>
      <c r="S84" s="99"/>
    </row>
    <row r="85" spans="5:19" ht="15.95" customHeight="1"/>
    <row r="86" spans="5:19" ht="15.95" customHeight="1"/>
    <row r="87" spans="5:19" ht="15.95" customHeight="1"/>
    <row r="88" spans="5:19" ht="15.95" customHeight="1"/>
    <row r="89" spans="5:19" s="50" customFormat="1" ht="18.75">
      <c r="E89" s="98"/>
      <c r="N89" s="55"/>
      <c r="O89" s="55"/>
      <c r="P89" s="55"/>
      <c r="Q89" s="55"/>
      <c r="R89" s="55"/>
      <c r="S89" s="99"/>
    </row>
  </sheetData>
  <mergeCells count="173">
    <mergeCell ref="A58:A59"/>
    <mergeCell ref="B58:B59"/>
    <mergeCell ref="C58:C59"/>
    <mergeCell ref="D58:D59"/>
    <mergeCell ref="E54:E56"/>
    <mergeCell ref="F54:F55"/>
    <mergeCell ref="A63:A64"/>
    <mergeCell ref="B63:B64"/>
    <mergeCell ref="C63:C64"/>
    <mergeCell ref="A78:C78"/>
    <mergeCell ref="D78:E78"/>
    <mergeCell ref="F78:L78"/>
    <mergeCell ref="L61:L62"/>
    <mergeCell ref="A67:A68"/>
    <mergeCell ref="B67:B68"/>
    <mergeCell ref="C67:C68"/>
    <mergeCell ref="D67:D68"/>
    <mergeCell ref="E61:E62"/>
    <mergeCell ref="F61:F62"/>
    <mergeCell ref="D63:D64"/>
    <mergeCell ref="A79:C79"/>
    <mergeCell ref="D79:E79"/>
    <mergeCell ref="F79:L79"/>
    <mergeCell ref="S61:S62"/>
    <mergeCell ref="A71:C71"/>
    <mergeCell ref="D71:E71"/>
    <mergeCell ref="F71:L71"/>
    <mergeCell ref="A72:C72"/>
    <mergeCell ref="D72:E72"/>
    <mergeCell ref="F72:L72"/>
    <mergeCell ref="B60:B62"/>
    <mergeCell ref="C60:C62"/>
    <mergeCell ref="D60:D62"/>
    <mergeCell ref="M61:M62"/>
    <mergeCell ref="N61:N62"/>
    <mergeCell ref="O61:O62"/>
    <mergeCell ref="P61:P62"/>
    <mergeCell ref="Q61:Q62"/>
    <mergeCell ref="R61:R62"/>
    <mergeCell ref="G61:G62"/>
    <mergeCell ref="H61:H62"/>
    <mergeCell ref="I61:I62"/>
    <mergeCell ref="J61:J62"/>
    <mergeCell ref="K61:K62"/>
    <mergeCell ref="P63:P64"/>
    <mergeCell ref="S43:S44"/>
    <mergeCell ref="A46:R46"/>
    <mergeCell ref="A49:A50"/>
    <mergeCell ref="B49:B50"/>
    <mergeCell ref="C49:C50"/>
    <mergeCell ref="D49:D50"/>
    <mergeCell ref="P49:P50"/>
    <mergeCell ref="B47:B48"/>
    <mergeCell ref="J43:J44"/>
    <mergeCell ref="K43:K44"/>
    <mergeCell ref="L43:L44"/>
    <mergeCell ref="N43:N44"/>
    <mergeCell ref="O43:O44"/>
    <mergeCell ref="R43:R44"/>
    <mergeCell ref="A42:A45"/>
    <mergeCell ref="B42:B45"/>
    <mergeCell ref="C42:C45"/>
    <mergeCell ref="D42:D45"/>
    <mergeCell ref="B54:B57"/>
    <mergeCell ref="E43:E44"/>
    <mergeCell ref="F43:F44"/>
    <mergeCell ref="G43:G44"/>
    <mergeCell ref="P58:P59"/>
    <mergeCell ref="A38:A41"/>
    <mergeCell ref="B38:B41"/>
    <mergeCell ref="C38:C41"/>
    <mergeCell ref="D38:D41"/>
    <mergeCell ref="P38:P41"/>
    <mergeCell ref="J32:J33"/>
    <mergeCell ref="K32:K33"/>
    <mergeCell ref="L32:L33"/>
    <mergeCell ref="M32:M33"/>
    <mergeCell ref="N32:N33"/>
    <mergeCell ref="O32:O33"/>
    <mergeCell ref="M54:M55"/>
    <mergeCell ref="N54:N55"/>
    <mergeCell ref="O54:O56"/>
    <mergeCell ref="G54:G55"/>
    <mergeCell ref="H54:H55"/>
    <mergeCell ref="I54:I55"/>
    <mergeCell ref="J54:J55"/>
    <mergeCell ref="B51:B53"/>
    <mergeCell ref="C51:C53"/>
    <mergeCell ref="D51:D53"/>
    <mergeCell ref="C54:C57"/>
    <mergeCell ref="D54:D57"/>
    <mergeCell ref="K54:K55"/>
    <mergeCell ref="L54:L55"/>
    <mergeCell ref="S26:S28"/>
    <mergeCell ref="A32:A37"/>
    <mergeCell ref="B32:B37"/>
    <mergeCell ref="C32:C37"/>
    <mergeCell ref="D32:D37"/>
    <mergeCell ref="E32:E33"/>
    <mergeCell ref="F32:F33"/>
    <mergeCell ref="G32:G33"/>
    <mergeCell ref="H32:H33"/>
    <mergeCell ref="I32:I33"/>
    <mergeCell ref="A26:A31"/>
    <mergeCell ref="B26:B31"/>
    <mergeCell ref="C26:C31"/>
    <mergeCell ref="D26:D31"/>
    <mergeCell ref="P26:P31"/>
    <mergeCell ref="Q26:Q27"/>
    <mergeCell ref="R26:R27"/>
    <mergeCell ref="P32:P37"/>
    <mergeCell ref="R32:R33"/>
    <mergeCell ref="S32:S33"/>
    <mergeCell ref="P42:P45"/>
    <mergeCell ref="J20:J22"/>
    <mergeCell ref="H18:H19"/>
    <mergeCell ref="I18:I19"/>
    <mergeCell ref="J18:J19"/>
    <mergeCell ref="K18:K19"/>
    <mergeCell ref="L18:L19"/>
    <mergeCell ref="M18:M19"/>
    <mergeCell ref="H43:H44"/>
    <mergeCell ref="I43:I44"/>
    <mergeCell ref="S20:S22"/>
    <mergeCell ref="A23:A25"/>
    <mergeCell ref="B23:B25"/>
    <mergeCell ref="C23:C25"/>
    <mergeCell ref="D23:D25"/>
    <mergeCell ref="P23:P25"/>
    <mergeCell ref="K20:K21"/>
    <mergeCell ref="L20:L21"/>
    <mergeCell ref="M20:M21"/>
    <mergeCell ref="N20:N21"/>
    <mergeCell ref="O20:O22"/>
    <mergeCell ref="R20:R21"/>
    <mergeCell ref="S12:S13"/>
    <mergeCell ref="A15:A22"/>
    <mergeCell ref="B15:B22"/>
    <mergeCell ref="C15:C22"/>
    <mergeCell ref="D15:D22"/>
    <mergeCell ref="P15:P22"/>
    <mergeCell ref="E18:E19"/>
    <mergeCell ref="F18:F19"/>
    <mergeCell ref="G18:G19"/>
    <mergeCell ref="C12:D12"/>
    <mergeCell ref="E12:E13"/>
    <mergeCell ref="F12:F13"/>
    <mergeCell ref="G12:G13"/>
    <mergeCell ref="H12:H13"/>
    <mergeCell ref="I12:I13"/>
    <mergeCell ref="N18:N19"/>
    <mergeCell ref="O18:O19"/>
    <mergeCell ref="R18:R19"/>
    <mergeCell ref="S18:S19"/>
    <mergeCell ref="E20:E22"/>
    <mergeCell ref="F20:F22"/>
    <mergeCell ref="G20:G22"/>
    <mergeCell ref="H20:H22"/>
    <mergeCell ref="I20:I22"/>
    <mergeCell ref="A6:R6"/>
    <mergeCell ref="A7:R7"/>
    <mergeCell ref="B8:R8"/>
    <mergeCell ref="A9:R9"/>
    <mergeCell ref="A11:N11"/>
    <mergeCell ref="P11:P13"/>
    <mergeCell ref="A12:A13"/>
    <mergeCell ref="B12:B13"/>
    <mergeCell ref="L12:L13"/>
    <mergeCell ref="N12:N13"/>
    <mergeCell ref="Q12:Q13"/>
    <mergeCell ref="J12:J13"/>
    <mergeCell ref="K12:K13"/>
    <mergeCell ref="R12:R13"/>
  </mergeCells>
  <pageMargins left="0.7" right="0.7" top="0.75" bottom="0.75" header="0.3" footer="0.3"/>
  <pageSetup scale="1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VEINTIMILLA QUEZADA SILVIA RAQUEL</dc:creator>
  <cp:keywords/>
  <dc:description/>
  <cp:lastModifiedBy>CORDOVA ALVARADO ANDREA ELIZABET</cp:lastModifiedBy>
  <cp:revision/>
  <dcterms:created xsi:type="dcterms:W3CDTF">2025-03-10T22:43:12Z</dcterms:created>
  <dcterms:modified xsi:type="dcterms:W3CDTF">2025-10-22T21:37:19Z</dcterms:modified>
  <cp:category/>
  <cp:contentStatus/>
</cp:coreProperties>
</file>